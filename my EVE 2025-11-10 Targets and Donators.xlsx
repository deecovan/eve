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4"/>
    <sheet state="visible" name="Credentials" sheetId="2" r:id="rId5"/>
  </sheets>
  <definedNames/>
  <calcPr/>
  <extLst>
    <ext uri="GoogleSheetsCustomDataVersion2">
      <go:sheetsCustomData xmlns:go="http://customooxmlschemas.google.com/" r:id="rId6" roundtripDataChecksum="5Z8nwskL+eioup5TQ+kAuE8/jYVKh7T6nm3MxetsQeM="/>
    </ext>
  </extLst>
</workbook>
</file>

<file path=xl/sharedStrings.xml><?xml version="1.0" encoding="utf-8"?>
<sst xmlns="http://schemas.openxmlformats.org/spreadsheetml/2006/main" count="186" uniqueCount="116">
  <si>
    <t>Name</t>
  </si>
  <si>
    <t>ISK</t>
  </si>
  <si>
    <t>Assets</t>
  </si>
  <si>
    <t>Wallet</t>
  </si>
  <si>
    <t>SP</t>
  </si>
  <si>
    <t xml:space="preserve"> +SP</t>
  </si>
  <si>
    <t>ESP</t>
  </si>
  <si>
    <t>Worm Holera</t>
  </si>
  <si>
    <t>CEO HoH</t>
  </si>
  <si>
    <t>Donator</t>
  </si>
  <si>
    <t>dee.covana</t>
  </si>
  <si>
    <t>dee.covana@gmail.com</t>
  </si>
  <si>
    <t>DeeChEva</t>
  </si>
  <si>
    <t>HoH</t>
  </si>
  <si>
    <t xml:space="preserve">deech.eva </t>
  </si>
  <si>
    <t>deech.eva@gmail.com</t>
  </si>
  <si>
    <t>Steamaha</t>
  </si>
  <si>
    <t>s::dcheva</t>
  </si>
  <si>
    <t>Smart Eggs</t>
  </si>
  <si>
    <t>never-played</t>
  </si>
  <si>
    <t>neverplayedever@gmail.com</t>
  </si>
  <si>
    <t>DeeMan Diman</t>
  </si>
  <si>
    <t>Target players</t>
  </si>
  <si>
    <t>deemandiman</t>
  </si>
  <si>
    <t>deemandiman@gmail.com</t>
  </si>
  <si>
    <t>To Xalepa</t>
  </si>
  <si>
    <t>-School-</t>
  </si>
  <si>
    <t>deecovana</t>
  </si>
  <si>
    <t>deecovana@gmail.com</t>
  </si>
  <si>
    <t>Deem Matar</t>
  </si>
  <si>
    <r>
      <rPr>
        <rFont val="Arial"/>
        <color rgb="FF000000"/>
        <sz val="10.0"/>
      </rPr>
      <t xml:space="preserve">CEO </t>
    </r>
    <r>
      <rPr>
        <rFont val="Arial"/>
        <color rgb="FF000000"/>
        <sz val="10.0"/>
      </rPr>
      <t>Dee Cartel</t>
    </r>
  </si>
  <si>
    <t>dmytro.cheva</t>
  </si>
  <si>
    <t>dmytro.cheva@gmail.com</t>
  </si>
  <si>
    <t>Abyssette</t>
  </si>
  <si>
    <t>Dee Cartel</t>
  </si>
  <si>
    <t>dmitry.cheva</t>
  </si>
  <si>
    <t>dmitry.cheva@gmail.com</t>
  </si>
  <si>
    <t>Lordessa</t>
  </si>
  <si>
    <t>s::deecovan</t>
  </si>
  <si>
    <t>Ababa Halamaha</t>
  </si>
  <si>
    <t>X alliance approoved</t>
  </si>
  <si>
    <t>Gallentiada</t>
  </si>
  <si>
    <t>wukelan.che</t>
  </si>
  <si>
    <t>wukelan.che@gmail.com</t>
  </si>
  <si>
    <t>Newa Matara</t>
  </si>
  <si>
    <t>CSPA!!!</t>
  </si>
  <si>
    <t>Micronomica Alpha</t>
  </si>
  <si>
    <t>Aby Dee</t>
  </si>
  <si>
    <t>Ady Bee</t>
  </si>
  <si>
    <t>Gallenteria</t>
  </si>
  <si>
    <t>DeeBladina</t>
  </si>
  <si>
    <t>Dee Galla</t>
  </si>
  <si>
    <t>Amarr Khuyam</t>
  </si>
  <si>
    <t>Caldarynka</t>
  </si>
  <si>
    <t>che-va</t>
  </si>
  <si>
    <t>Key ID #133273436871367461</t>
  </si>
  <si>
    <t>dmytro.cheusov@outlook.com</t>
  </si>
  <si>
    <t>CCP 2119361891 che-va 133273436871367461</t>
  </si>
  <si>
    <t>ESI key 133456646896361497</t>
  </si>
  <si>
    <t>CCP 2120347635 VeeDeeCovan 133273437909130195</t>
  </si>
  <si>
    <t>dee.covan</t>
  </si>
  <si>
    <t>Key ID #1532734503350381711</t>
  </si>
  <si>
    <t>Caldari</t>
  </si>
  <si>
    <t>dee.covan@gmail.com</t>
  </si>
  <si>
    <t xml:space="preserve">CCP 2121174545 DeeBladina 133273450335058171 </t>
  </si>
  <si>
    <t>deecovan</t>
  </si>
  <si>
    <t xml:space="preserve">Key ID #13327341933647058 </t>
  </si>
  <si>
    <t xml:space="preserve">CCP 2114656127 Dee Covan 133273419339470589 </t>
  </si>
  <si>
    <t>ESI Key 133455576520758185</t>
  </si>
  <si>
    <t>$</t>
  </si>
  <si>
    <t>CCP 2121178396 Dee Galla 133273541951365302</t>
  </si>
  <si>
    <t>SP+</t>
  </si>
  <si>
    <t>Key ID #133273421545470270</t>
  </si>
  <si>
    <t>CCP 578564394 dcheva 133273421545470279</t>
  </si>
  <si>
    <t>Key ID #133273422110855486</t>
  </si>
  <si>
    <t>CCP 2115457291 Abyssette 133273422110855496</t>
  </si>
  <si>
    <t>Key ID #133273429919280601</t>
  </si>
  <si>
    <t>CCP 2113875139 Deem Cheva 133273429919280601</t>
  </si>
  <si>
    <t>ESI key 133456443912618197</t>
  </si>
  <si>
    <t>CCP 2121174871 Deem Matar 133273430369157136</t>
  </si>
  <si>
    <t>CEO</t>
  </si>
  <si>
    <t>Key ID #133273407407473208</t>
  </si>
  <si>
    <t>CCP 2118248041 SteamCheva 133273407407475268</t>
  </si>
  <si>
    <t>Key ID #133273408233997085</t>
  </si>
  <si>
    <t>Amarr</t>
  </si>
  <si>
    <t>CCP 2121175776 Steamaha 133273408233997085</t>
  </si>
  <si>
    <t>Key ID #133273504860642467</t>
  </si>
  <si>
    <t>CCP 2121178171 Lordessa 133273504860642467</t>
  </si>
  <si>
    <t>amarr.khuyam</t>
  </si>
  <si>
    <t>Key ID #133273446298473215</t>
  </si>
  <si>
    <t>amarr.khuyam@gmail.com</t>
  </si>
  <si>
    <t>CCP 2115031890 Amarr Khuyam 133273446298473215</t>
  </si>
  <si>
    <t>Gallente</t>
  </si>
  <si>
    <t>Heirs of Holes</t>
  </si>
  <si>
    <t>???</t>
  </si>
  <si>
    <t>Minmatar</t>
  </si>
  <si>
    <t>never</t>
  </si>
  <si>
    <t>core_char_2122197514</t>
  </si>
  <si>
    <t>minmatar</t>
  </si>
  <si>
    <t>deecheva@gmail.com</t>
  </si>
  <si>
    <t>deecheva</t>
  </si>
  <si>
    <t>hashedUserId = "29795975";</t>
  </si>
  <si>
    <t>.</t>
  </si>
  <si>
    <t>d.mitrycheva@gmail.com</t>
  </si>
  <si>
    <t>Dmitrycheva1976</t>
  </si>
  <si>
    <t>hashedUserId = "13595732";</t>
  </si>
  <si>
    <t>deecovan@gmail.com</t>
  </si>
  <si>
    <t>hashedUserId = "28182799";</t>
  </si>
  <si>
    <t>core_char_2123259076.dat</t>
  </si>
  <si>
    <t>hashedUserId = "31320672";</t>
  </si>
  <si>
    <t>hashedUserId = "29280260";</t>
  </si>
  <si>
    <t>Dee Cartel API 777 VWoP5tm7UhmuDUsoIL7a8LAWQDzNMC4K9nRNXFYHVo4RdzHf6Am9RwXhG39pjReC</t>
  </si>
  <si>
    <t>Disonans &gt; (☼) - так думаю краще))</t>
  </si>
  <si>
    <t>Role</t>
  </si>
  <si>
    <t xml:space="preserve">Caldari Gunner </t>
  </si>
  <si>
    <t>https://docs.google.com/spreadsheets/d/1yrMGSF8emLoM4m80w6mN6Wq6maqwPUab6dpAIr-aZtk/edit?usp=sharing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</si>
</sst>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&gt;=1000000][BLUE]#,##0;[&lt;0][RED]#,##0;[BLACK]#,##0"/>
    <numFmt numFmtId="165" formatCode="[&gt;=1000000][BLUE]#,##0;[&lt;10000][RED]#,##0;[BLACK]#,##0"/>
    <numFmt numFmtId="166" formatCode="[&gt;=500000000][BLUE]#,##0;[&lt;0][RED]#,##0;[BLACK]#,##0"/>
    <numFmt numFmtId="167" formatCode="yyyy/m/d"/>
    <numFmt numFmtId="168" formatCode="[&gt;=4000000][RED]#,##0;[&lt;1000000][BLUE]#,##0;[BLACK]#,##0"/>
    <numFmt numFmtId="169" formatCode="[&gt;1000000000][BLUE]##0;[&lt;=0][RED]##0;##0"/>
    <numFmt numFmtId="170" formatCode="[&gt;4000000][BLUE]##0;[&lt;=0][RED]##0;##0"/>
    <numFmt numFmtId="171" formatCode="[&gt;=500000][BLUE]##0;[&lt;0][RED]##0;##0"/>
    <numFmt numFmtId="172" formatCode="[&gt;=1000000][BLUE]#,##0;[&lt;100000][RED]#,##0;[BLACK]#,##0"/>
    <numFmt numFmtId="173" formatCode="[&gt;=4000000][BLUE]#,##0;[&lt;10000][RED]#,##0;[BLACK]#,##0"/>
    <numFmt numFmtId="174" formatCode="[&gt;=50000][BLUE]#,##0;[&lt;1000][RED]#,##0;[BLACK]#,##0"/>
    <numFmt numFmtId="175" formatCode="[&gt;=4000000][BLUE]#,##0;[&lt;0][RED]#,##0;[BLACK]#,##0"/>
    <numFmt numFmtId="176" formatCode="mm/dd"/>
  </numFmts>
  <fonts count="40">
    <font>
      <sz val="10.0"/>
      <color rgb="FF000000"/>
      <name val="Arial"/>
      <scheme val="minor"/>
    </font>
    <font>
      <sz val="11.0"/>
      <color rgb="FF000000"/>
      <name val="Arial"/>
    </font>
    <font>
      <b/>
      <sz val="9.0"/>
      <color rgb="FF000000"/>
      <name val="Nunito"/>
    </font>
    <font>
      <b/>
      <sz val="12.0"/>
      <color rgb="FF000000"/>
      <name val="Nunito"/>
    </font>
    <font>
      <b/>
      <sz val="12.0"/>
      <color rgb="FFFFFFFF"/>
      <name val="Arial"/>
    </font>
    <font/>
    <font>
      <b/>
      <sz val="10.0"/>
      <color rgb="FF000000"/>
      <name val="Nunito"/>
    </font>
    <font>
      <sz val="10.0"/>
      <color rgb="FF000000"/>
      <name val="Arial"/>
    </font>
    <font>
      <b/>
      <sz val="12.0"/>
      <color rgb="FF000000"/>
      <name val="Arial"/>
    </font>
    <font>
      <i/>
      <sz val="10.0"/>
      <color rgb="FF000000"/>
      <name val="Arial"/>
    </font>
    <font>
      <i/>
      <u/>
      <sz val="10.0"/>
      <color rgb="FF000000"/>
      <name val="Arial"/>
    </font>
    <font>
      <i/>
      <u/>
      <sz val="10.0"/>
      <color rgb="FF000000"/>
      <name val="Arial"/>
    </font>
    <font>
      <b/>
      <sz val="12.0"/>
      <color theme="1"/>
      <name val="Arial"/>
    </font>
    <font>
      <i/>
      <u/>
      <sz val="10.0"/>
      <color rgb="FF000000"/>
      <name val="Arial"/>
    </font>
    <font>
      <color theme="1"/>
      <name val="Arial"/>
      <scheme val="minor"/>
    </font>
    <font>
      <i/>
      <sz val="12.0"/>
      <color rgb="FF000000"/>
      <name val="Arial"/>
    </font>
    <font>
      <b/>
      <sz val="10.0"/>
      <color rgb="FFC9211E"/>
      <name val="Arial"/>
    </font>
    <font>
      <sz val="9.0"/>
      <color rgb="FF000000"/>
      <name val="Nunito"/>
    </font>
    <font>
      <sz val="12.0"/>
      <color rgb="FF000000"/>
      <name val="Nunito"/>
    </font>
    <font>
      <sz val="10.0"/>
      <color rgb="FF000000"/>
      <name val="Nunito"/>
    </font>
    <font>
      <sz val="12.0"/>
      <color rgb="FF000000"/>
      <name val="Arial"/>
    </font>
    <font>
      <sz val="11.0"/>
      <color rgb="FF0000FF"/>
      <name val="Nunito"/>
    </font>
    <font>
      <sz val="14.0"/>
      <color rgb="FF0000FF"/>
      <name val="Nunito"/>
    </font>
    <font>
      <b/>
      <sz val="11.0"/>
      <color rgb="FF0000FF"/>
      <name val="Nunito"/>
    </font>
    <font>
      <b/>
      <u/>
      <sz val="11.0"/>
      <color rgb="FF0000FF"/>
      <name val="Nunito"/>
    </font>
    <font>
      <b/>
      <sz val="11.0"/>
      <color rgb="FF000000"/>
      <name val="Nunito"/>
    </font>
    <font>
      <b/>
      <sz val="14.0"/>
      <color rgb="FF000000"/>
      <name val="Nunito"/>
    </font>
    <font>
      <u/>
      <sz val="14.0"/>
      <color rgb="FF000000"/>
      <name val="Nunito"/>
    </font>
    <font>
      <sz val="11.0"/>
      <color rgb="FF000000"/>
      <name val="Nunito"/>
    </font>
    <font>
      <b/>
      <u/>
      <sz val="11.0"/>
      <color rgb="FF000000"/>
      <name val="Nunito"/>
    </font>
    <font>
      <b/>
      <i/>
      <sz val="11.0"/>
      <color rgb="FF000000"/>
      <name val="Nunito"/>
    </font>
    <font>
      <b/>
      <i/>
      <sz val="14.0"/>
      <color rgb="FF000000"/>
      <name val="Nunito"/>
    </font>
    <font>
      <sz val="14.0"/>
      <color rgb="FF000000"/>
      <name val="Nunito"/>
    </font>
    <font>
      <b/>
      <sz val="14.0"/>
      <color rgb="FF38761D"/>
      <name val="Nunito"/>
    </font>
    <font>
      <b/>
      <sz val="11.0"/>
      <color rgb="FF980000"/>
      <name val="Nunito"/>
    </font>
    <font>
      <b/>
      <sz val="14.0"/>
      <color rgb="FF980000"/>
      <name val="Nunito"/>
    </font>
    <font>
      <sz val="11.0"/>
      <color rgb="FFFFFFFF"/>
      <name val="Nunito"/>
    </font>
    <font>
      <b/>
      <sz val="11.0"/>
      <color rgb="FFFFFFFF"/>
      <name val="Nunito"/>
    </font>
    <font>
      <i/>
      <sz val="11.0"/>
      <color rgb="FFFFFFFF"/>
      <name val="Nunito"/>
    </font>
    <font>
      <u/>
      <sz val="11.0"/>
      <color rgb="FFFFFFFF"/>
      <name val="Nunito"/>
    </font>
  </fonts>
  <fills count="21">
    <fill>
      <patternFill patternType="none"/>
    </fill>
    <fill>
      <patternFill patternType="lightGray"/>
    </fill>
    <fill>
      <patternFill patternType="solid">
        <fgColor rgb="FFDEE6EF"/>
        <bgColor rgb="FFDEE6EF"/>
      </patternFill>
    </fill>
    <fill>
      <patternFill patternType="solid">
        <fgColor rgb="FF000000"/>
        <bgColor rgb="FF000000"/>
      </patternFill>
    </fill>
    <fill>
      <patternFill patternType="solid">
        <fgColor rgb="FF729FCF"/>
        <bgColor rgb="FF729FCF"/>
      </patternFill>
    </fill>
    <fill>
      <patternFill patternType="solid">
        <fgColor rgb="FFE6B8AF"/>
        <bgColor rgb="FFE6B8AF"/>
      </patternFill>
    </fill>
    <fill>
      <patternFill patternType="solid">
        <fgColor rgb="FFEEEEEE"/>
        <bgColor rgb="FFEEEEEE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DE8CB"/>
        <bgColor rgb="FFDDE8CB"/>
      </patternFill>
    </fill>
    <fill>
      <patternFill patternType="solid">
        <fgColor rgb="FFFFBF00"/>
        <bgColor rgb="FFFFBF00"/>
      </patternFill>
    </fill>
    <fill>
      <patternFill patternType="solid">
        <fgColor rgb="FFEC9BA4"/>
        <bgColor rgb="FFEC9BA4"/>
      </patternFill>
    </fill>
    <fill>
      <patternFill patternType="solid">
        <fgColor rgb="FFFFD7D7"/>
        <bgColor rgb="FFFFD7D7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</fills>
  <borders count="73">
    <border/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</border>
    <border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top/>
    </border>
    <border>
      <right/>
      <top/>
    </border>
    <border>
      <left style="medium">
        <color rgb="FF000000"/>
      </left>
      <right style="medium">
        <color rgb="FF000000"/>
      </right>
    </border>
    <border>
      <left/>
    </border>
    <border>
      <right/>
    </border>
    <border>
      <left style="medium">
        <color rgb="FF000000"/>
      </left>
      <right style="medium">
        <color rgb="FF000000"/>
      </right>
      <bottom/>
    </border>
    <border>
      <left/>
      <bottom/>
    </border>
    <border>
      <right/>
      <bottom/>
    </border>
    <border>
      <left/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thick">
        <color rgb="FFB7B7B7"/>
      </left>
      <right/>
      <top/>
      <bottom/>
    </border>
    <border>
      <left/>
      <right style="thick">
        <color rgb="FFB7B7B7"/>
      </right>
      <top/>
      <bottom/>
    </border>
    <border>
      <left style="thick">
        <color rgb="FFB7B7B7"/>
      </left>
      <right/>
      <top/>
    </border>
    <border>
      <left style="thick">
        <color rgb="FFB7B7B7"/>
      </left>
      <right/>
    </border>
    <border>
      <left style="thick">
        <color rgb="FFB7B7B7"/>
      </left>
      <right/>
      <bottom/>
    </border>
    <border>
      <left style="thick">
        <color rgb="FFB7B7B7"/>
      </left>
      <right/>
      <top style="thick">
        <color rgb="FFB7B7B7"/>
      </top>
      <bottom/>
    </border>
    <border>
      <top style="thick">
        <color rgb="FFB7B7B7"/>
      </top>
    </border>
    <border>
      <right style="thick">
        <color rgb="FFB7B7B7"/>
      </right>
      <top style="thick">
        <color rgb="FFB7B7B7"/>
      </top>
    </border>
    <border>
      <right style="thick">
        <color rgb="FFB7B7B7"/>
      </right>
    </border>
    <border>
      <left/>
      <bottom style="thick">
        <color rgb="FFB7B7B7"/>
      </bottom>
    </border>
    <border>
      <right/>
      <bottom style="thick">
        <color rgb="FFB7B7B7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45818E"/>
      </left>
      <right/>
      <top/>
      <bottom/>
    </border>
    <border>
      <left/>
      <right/>
    </border>
    <border>
      <left/>
      <right/>
      <bottom style="medium">
        <color rgb="FF000000"/>
      </bottom>
    </border>
    <border>
      <left/>
      <right/>
      <top style="medium">
        <color rgb="FF000000"/>
      </top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2" fontId="2" numFmtId="164" xfId="0" applyAlignment="1" applyBorder="1" applyFill="1" applyFont="1" applyNumberFormat="1">
      <alignment shrinkToFit="0" vertical="bottom" wrapText="0"/>
    </xf>
    <xf borderId="3" fillId="2" fontId="2" numFmtId="165" xfId="0" applyAlignment="1" applyBorder="1" applyFont="1" applyNumberFormat="1">
      <alignment shrinkToFit="0" vertical="bottom" wrapText="0"/>
    </xf>
    <xf borderId="3" fillId="2" fontId="3" numFmtId="166" xfId="0" applyAlignment="1" applyBorder="1" applyFont="1" applyNumberFormat="1">
      <alignment shrinkToFit="0" vertical="bottom" wrapText="0"/>
    </xf>
    <xf borderId="4" fillId="3" fontId="4" numFmtId="167" xfId="0" applyAlignment="1" applyBorder="1" applyFill="1" applyFont="1" applyNumberFormat="1">
      <alignment horizontal="center" shrinkToFit="0" vertical="bottom" wrapText="0"/>
    </xf>
    <xf borderId="5" fillId="0" fontId="5" numFmtId="0" xfId="0" applyBorder="1" applyFont="1"/>
    <xf borderId="6" fillId="2" fontId="6" numFmtId="168" xfId="0" applyAlignment="1" applyBorder="1" applyFont="1" applyNumberForma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1" fillId="0" fontId="8" numFmtId="0" xfId="0" applyAlignment="1" applyBorder="1" applyFont="1">
      <alignment horizontal="right" shrinkToFit="0" vertical="bottom" wrapText="0"/>
    </xf>
    <xf borderId="7" fillId="0" fontId="2" numFmtId="169" xfId="0" applyAlignment="1" applyBorder="1" applyFont="1" applyNumberFormat="1">
      <alignment horizontal="right" shrinkToFit="0" vertical="bottom" wrapText="0"/>
    </xf>
    <xf borderId="7" fillId="0" fontId="3" numFmtId="169" xfId="0" applyAlignment="1" applyBorder="1" applyFont="1" applyNumberFormat="1">
      <alignment horizontal="right" shrinkToFit="0" vertical="bottom" wrapText="0"/>
    </xf>
    <xf borderId="7" fillId="0" fontId="3" numFmtId="170" xfId="0" applyAlignment="1" applyBorder="1" applyFont="1" applyNumberFormat="1">
      <alignment horizontal="right" shrinkToFit="0" vertical="bottom" wrapText="0"/>
    </xf>
    <xf borderId="7" fillId="0" fontId="2" numFmtId="171" xfId="0" applyAlignment="1" applyBorder="1" applyFont="1" applyNumberFormat="1">
      <alignment horizontal="right" shrinkToFit="0" vertical="bottom" wrapText="0"/>
    </xf>
    <xf borderId="8" fillId="0" fontId="6" numFmtId="170" xfId="0" applyAlignment="1" applyBorder="1" applyFont="1" applyNumberFormat="1">
      <alignment horizontal="right" shrinkToFit="0" vertical="bottom" wrapText="0"/>
    </xf>
    <xf borderId="0" fillId="0" fontId="2" numFmtId="172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9" fillId="2" fontId="3" numFmtId="166" xfId="0" applyAlignment="1" applyBorder="1" applyFont="1" applyNumberFormat="1">
      <alignment shrinkToFit="0" vertical="bottom" wrapText="0"/>
    </xf>
    <xf borderId="9" fillId="2" fontId="3" numFmtId="173" xfId="0" applyAlignment="1" applyBorder="1" applyFont="1" applyNumberFormat="1">
      <alignment shrinkToFit="0" vertical="bottom" wrapText="0"/>
    </xf>
    <xf borderId="0" fillId="0" fontId="2" numFmtId="174" xfId="0" applyAlignment="1" applyFont="1" applyNumberFormat="1">
      <alignment shrinkToFit="0" vertical="bottom" wrapText="0"/>
    </xf>
    <xf borderId="1" fillId="0" fontId="6" numFmtId="168" xfId="0" applyAlignment="1" applyBorder="1" applyFont="1" applyNumberFormat="1">
      <alignment shrinkToFit="0" vertical="bottom" wrapText="0"/>
    </xf>
    <xf borderId="9" fillId="4" fontId="7" numFmtId="0" xfId="0" applyAlignment="1" applyBorder="1" applyFill="1" applyFont="1">
      <alignment horizontal="right" shrinkToFit="0" vertical="bottom" wrapText="0"/>
    </xf>
    <xf borderId="10" fillId="5" fontId="8" numFmtId="0" xfId="0" applyAlignment="1" applyBorder="1" applyFill="1" applyFont="1">
      <alignment horizontal="right" readingOrder="0" shrinkToFit="0" vertical="bottom" wrapText="0"/>
    </xf>
    <xf borderId="11" fillId="0" fontId="9" numFmtId="0" xfId="0" applyAlignment="1" applyBorder="1" applyFont="1">
      <alignment horizontal="right" shrinkToFit="0" vertical="bottom" wrapText="0"/>
    </xf>
    <xf borderId="9" fillId="6" fontId="2" numFmtId="169" xfId="0" applyAlignment="1" applyBorder="1" applyFill="1" applyFont="1" applyNumberFormat="1">
      <alignment shrinkToFit="0" vertical="bottom" wrapText="0"/>
    </xf>
    <xf borderId="9" fillId="2" fontId="3" numFmtId="169" xfId="0" applyAlignment="1" applyBorder="1" applyFont="1" applyNumberFormat="1">
      <alignment shrinkToFit="0" vertical="bottom" wrapText="0"/>
    </xf>
    <xf borderId="9" fillId="2" fontId="3" numFmtId="170" xfId="0" applyAlignment="1" applyBorder="1" applyFont="1" applyNumberFormat="1">
      <alignment shrinkToFit="0" vertical="bottom" wrapText="0"/>
    </xf>
    <xf borderId="9" fillId="6" fontId="2" numFmtId="171" xfId="0" applyAlignment="1" applyBorder="1" applyFont="1" applyNumberFormat="1">
      <alignment shrinkToFit="0" vertical="bottom" wrapText="0"/>
    </xf>
    <xf borderId="12" fillId="6" fontId="6" numFmtId="170" xfId="0" applyAlignment="1" applyBorder="1" applyFont="1" applyNumberFormat="1">
      <alignment shrinkToFit="0" vertical="bottom" wrapText="0"/>
    </xf>
    <xf borderId="11" fillId="0" fontId="10" numFmtId="0" xfId="0" applyAlignment="1" applyBorder="1" applyFont="1">
      <alignment horizontal="right" shrinkToFit="0" vertical="bottom" wrapText="0"/>
    </xf>
    <xf borderId="13" fillId="0" fontId="8" numFmtId="0" xfId="0" applyAlignment="1" applyBorder="1" applyFont="1">
      <alignment horizontal="right" shrinkToFit="0" vertical="bottom" wrapText="0"/>
    </xf>
    <xf borderId="7" fillId="0" fontId="2" numFmtId="172" xfId="0" applyAlignment="1" applyBorder="1" applyFont="1" applyNumberFormat="1">
      <alignment shrinkToFit="0" vertical="bottom" wrapText="0"/>
    </xf>
    <xf borderId="7" fillId="0" fontId="2" numFmtId="164" xfId="0" applyAlignment="1" applyBorder="1" applyFont="1" applyNumberFormat="1">
      <alignment shrinkToFit="0" vertical="bottom" wrapText="0"/>
    </xf>
    <xf borderId="14" fillId="2" fontId="3" numFmtId="166" xfId="0" applyAlignment="1" applyBorder="1" applyFont="1" applyNumberFormat="1">
      <alignment shrinkToFit="0" vertical="bottom" wrapText="0"/>
    </xf>
    <xf borderId="14" fillId="2" fontId="3" numFmtId="173" xfId="0" applyAlignment="1" applyBorder="1" applyFont="1" applyNumberFormat="1">
      <alignment shrinkToFit="0" vertical="bottom" wrapText="0"/>
    </xf>
    <xf borderId="7" fillId="0" fontId="2" numFmtId="174" xfId="0" applyAlignment="1" applyBorder="1" applyFont="1" applyNumberFormat="1">
      <alignment shrinkToFit="0" vertical="bottom" wrapText="0"/>
    </xf>
    <xf borderId="8" fillId="0" fontId="6" numFmtId="168" xfId="0" applyAlignment="1" applyBorder="1" applyFont="1" applyNumberFormat="1">
      <alignment shrinkToFit="0" vertical="bottom" wrapText="0"/>
    </xf>
    <xf borderId="9" fillId="2" fontId="7" numFmtId="0" xfId="0" applyAlignment="1" applyBorder="1" applyFont="1">
      <alignment horizontal="right" shrinkToFit="0" vertical="bottom" wrapText="0"/>
    </xf>
    <xf borderId="10" fillId="7" fontId="8" numFmtId="0" xfId="0" applyAlignment="1" applyBorder="1" applyFill="1" applyFont="1">
      <alignment horizontal="right" readingOrder="0" shrinkToFit="0" vertical="bottom" wrapText="0"/>
    </xf>
    <xf borderId="7" fillId="0" fontId="7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horizontal="right" shrinkToFit="0" vertical="bottom" wrapText="1"/>
    </xf>
    <xf borderId="15" fillId="0" fontId="11" numFmtId="0" xfId="0" applyAlignment="1" applyBorder="1" applyFont="1">
      <alignment horizontal="right" shrinkToFit="0" vertical="bottom" wrapText="1"/>
    </xf>
    <xf borderId="16" fillId="6" fontId="2" numFmtId="169" xfId="0" applyAlignment="1" applyBorder="1" applyFont="1" applyNumberFormat="1">
      <alignment shrinkToFit="0" vertical="bottom" wrapText="0"/>
    </xf>
    <xf borderId="16" fillId="2" fontId="3" numFmtId="169" xfId="0" applyAlignment="1" applyBorder="1" applyFont="1" applyNumberFormat="1">
      <alignment shrinkToFit="0" vertical="bottom" wrapText="0"/>
    </xf>
    <xf borderId="16" fillId="2" fontId="3" numFmtId="170" xfId="0" applyAlignment="1" applyBorder="1" applyFont="1" applyNumberFormat="1">
      <alignment shrinkToFit="0" vertical="bottom" wrapText="0"/>
    </xf>
    <xf borderId="16" fillId="6" fontId="2" numFmtId="171" xfId="0" applyAlignment="1" applyBorder="1" applyFont="1" applyNumberFormat="1">
      <alignment shrinkToFit="0" vertical="bottom" wrapText="0"/>
    </xf>
    <xf borderId="17" fillId="6" fontId="6" numFmtId="170" xfId="0" applyAlignment="1" applyBorder="1" applyFont="1" applyNumberFormat="1">
      <alignment shrinkToFit="0" vertical="bottom" wrapText="0"/>
    </xf>
    <xf borderId="18" fillId="0" fontId="7" numFmtId="0" xfId="0" applyAlignment="1" applyBorder="1" applyFont="1">
      <alignment horizontal="right" shrinkToFit="0" vertical="bottom" wrapText="0"/>
    </xf>
    <xf borderId="18" fillId="0" fontId="7" numFmtId="0" xfId="0" applyAlignment="1" applyBorder="1" applyFont="1">
      <alignment shrinkToFit="0" vertical="bottom" wrapText="0"/>
    </xf>
    <xf borderId="10" fillId="8" fontId="8" numFmtId="0" xfId="0" applyAlignment="1" applyBorder="1" applyFill="1" applyFont="1">
      <alignment horizontal="right" readingOrder="0" shrinkToFit="0" vertical="bottom" wrapText="0"/>
    </xf>
    <xf borderId="13" fillId="0" fontId="12" numFmtId="0" xfId="0" applyAlignment="1" applyBorder="1" applyFont="1">
      <alignment horizontal="right" shrinkToFit="0" vertical="bottom" wrapText="0"/>
    </xf>
    <xf borderId="7" fillId="0" fontId="2" numFmtId="165" xfId="0" applyAlignment="1" applyBorder="1" applyFont="1" applyNumberFormat="1">
      <alignment shrinkToFit="0" vertical="bottom" wrapText="0"/>
    </xf>
    <xf borderId="14" fillId="2" fontId="7" numFmtId="0" xfId="0" applyAlignment="1" applyBorder="1" applyFont="1">
      <alignment horizontal="right" shrinkToFit="0" vertical="bottom" wrapText="0"/>
    </xf>
    <xf borderId="15" fillId="0" fontId="13" numFmtId="0" xfId="0" applyAlignment="1" applyBorder="1" applyFont="1">
      <alignment horizontal="right" shrinkToFit="0" vertical="bottom" wrapText="0"/>
    </xf>
    <xf borderId="12" fillId="9" fontId="8" numFmtId="0" xfId="0" applyAlignment="1" applyBorder="1" applyFill="1" applyFont="1">
      <alignment horizontal="right" shrinkToFit="0" vertical="bottom" wrapText="0"/>
    </xf>
    <xf borderId="19" fillId="2" fontId="7" numFmtId="0" xfId="0" applyAlignment="1" applyBorder="1" applyFont="1">
      <alignment horizontal="right" shrinkToFit="0" vertical="bottom" wrapText="0"/>
    </xf>
    <xf borderId="10" fillId="9" fontId="8" numFmtId="0" xfId="0" applyAlignment="1" applyBorder="1" applyFont="1">
      <alignment horizontal="right" readingOrder="0" shrinkToFit="0" vertical="bottom" wrapText="0"/>
    </xf>
    <xf borderId="20" fillId="9" fontId="8" numFmtId="0" xfId="0" applyAlignment="1" applyBorder="1" applyFont="1">
      <alignment horizontal="right" shrinkToFit="0" vertical="bottom" wrapText="0"/>
    </xf>
    <xf borderId="21" fillId="6" fontId="2" numFmtId="169" xfId="0" applyAlignment="1" applyBorder="1" applyFont="1" applyNumberFormat="1">
      <alignment shrinkToFit="0" vertical="bottom" wrapText="0"/>
    </xf>
    <xf borderId="21" fillId="2" fontId="3" numFmtId="169" xfId="0" applyAlignment="1" applyBorder="1" applyFont="1" applyNumberFormat="1">
      <alignment shrinkToFit="0" vertical="bottom" wrapText="0"/>
    </xf>
    <xf borderId="21" fillId="2" fontId="3" numFmtId="170" xfId="0" applyAlignment="1" applyBorder="1" applyFont="1" applyNumberFormat="1">
      <alignment shrinkToFit="0" vertical="bottom" wrapText="0"/>
    </xf>
    <xf borderId="21" fillId="6" fontId="2" numFmtId="171" xfId="0" applyAlignment="1" applyBorder="1" applyFont="1" applyNumberFormat="1">
      <alignment shrinkToFit="0" vertical="bottom" wrapText="0"/>
    </xf>
    <xf borderId="22" fillId="6" fontId="6" numFmtId="170" xfId="0" applyAlignment="1" applyBorder="1" applyFont="1" applyNumberFormat="1">
      <alignment shrinkToFit="0" vertical="bottom" wrapText="0"/>
    </xf>
    <xf borderId="23" fillId="9" fontId="8" numFmtId="0" xfId="0" applyAlignment="1" applyBorder="1" applyFont="1">
      <alignment horizontal="right" shrinkToFit="0" vertical="bottom" wrapText="0"/>
    </xf>
    <xf borderId="24" fillId="10" fontId="7" numFmtId="0" xfId="0" applyAlignment="1" applyBorder="1" applyFill="1" applyFont="1">
      <alignment horizontal="right" shrinkToFit="0" vertical="bottom" wrapText="0"/>
    </xf>
    <xf borderId="7" fillId="0" fontId="14" numFmtId="0" xfId="0" applyBorder="1" applyFont="1"/>
    <xf borderId="8" fillId="0" fontId="3" numFmtId="175" xfId="0" applyAlignment="1" applyBorder="1" applyFont="1" applyNumberFormat="1">
      <alignment shrinkToFit="0" vertical="bottom" wrapText="0"/>
    </xf>
    <xf borderId="25" fillId="9" fontId="8" numFmtId="0" xfId="0" applyAlignment="1" applyBorder="1" applyFont="1">
      <alignment horizontal="right" shrinkToFit="0" vertical="bottom" wrapText="0"/>
    </xf>
    <xf borderId="14" fillId="11" fontId="7" numFmtId="0" xfId="0" applyAlignment="1" applyBorder="1" applyFill="1" applyFont="1">
      <alignment horizontal="right" shrinkToFit="0" vertical="bottom" wrapText="0"/>
    </xf>
    <xf borderId="14" fillId="12" fontId="7" numFmtId="0" xfId="0" applyAlignment="1" applyBorder="1" applyFill="1" applyFont="1">
      <alignment horizontal="right" shrinkToFit="0" vertical="bottom" wrapText="0"/>
    </xf>
    <xf borderId="9" fillId="12" fontId="7" numFmtId="0" xfId="0" applyAlignment="1" applyBorder="1" applyFont="1">
      <alignment horizontal="right" shrinkToFit="0" vertical="bottom" wrapText="0"/>
    </xf>
    <xf borderId="15" fillId="0" fontId="15" numFmtId="0" xfId="0" applyAlignment="1" applyBorder="1" applyFont="1">
      <alignment horizontal="right" shrinkToFit="0" vertical="bottom" wrapText="0"/>
    </xf>
    <xf borderId="20" fillId="13" fontId="15" numFmtId="0" xfId="0" applyAlignment="1" applyBorder="1" applyFill="1" applyFont="1">
      <alignment horizontal="right" shrinkToFit="0" vertical="bottom" wrapText="0"/>
    </xf>
    <xf borderId="9" fillId="13" fontId="2" numFmtId="169" xfId="0" applyAlignment="1" applyBorder="1" applyFont="1" applyNumberFormat="1">
      <alignment shrinkToFit="0" vertical="bottom" wrapText="0"/>
    </xf>
    <xf borderId="9" fillId="13" fontId="3" numFmtId="169" xfId="0" applyAlignment="1" applyBorder="1" applyFont="1" applyNumberFormat="1">
      <alignment shrinkToFit="0" vertical="bottom" wrapText="0"/>
    </xf>
    <xf borderId="9" fillId="13" fontId="3" numFmtId="170" xfId="0" applyAlignment="1" applyBorder="1" applyFont="1" applyNumberFormat="1">
      <alignment shrinkToFit="0" vertical="bottom" wrapText="0"/>
    </xf>
    <xf borderId="9" fillId="13" fontId="2" numFmtId="171" xfId="0" applyAlignment="1" applyBorder="1" applyFont="1" applyNumberFormat="1">
      <alignment shrinkToFit="0" vertical="bottom" wrapText="0"/>
    </xf>
    <xf borderId="12" fillId="13" fontId="6" numFmtId="170" xfId="0" applyAlignment="1" applyBorder="1" applyFont="1" applyNumberFormat="1">
      <alignment shrinkToFit="0" vertical="bottom" wrapText="0"/>
    </xf>
    <xf borderId="9" fillId="13" fontId="7" numFmtId="0" xfId="0" applyAlignment="1" applyBorder="1" applyFont="1">
      <alignment horizontal="right" shrinkToFit="0" vertical="bottom" wrapText="0"/>
    </xf>
    <xf borderId="9" fillId="13" fontId="7" numFmtId="0" xfId="0" applyAlignment="1" applyBorder="1" applyFont="1">
      <alignment shrinkToFit="0" vertical="bottom" wrapText="0"/>
    </xf>
    <xf borderId="20" fillId="13" fontId="9" numFmtId="0" xfId="0" applyAlignment="1" applyBorder="1" applyFont="1">
      <alignment horizontal="right" shrinkToFit="0" vertical="bottom" wrapText="0"/>
    </xf>
    <xf borderId="1" fillId="0" fontId="15" numFmtId="0" xfId="0" applyAlignment="1" applyBorder="1" applyFont="1">
      <alignment horizontal="right" shrinkToFit="0" vertical="bottom" wrapText="0"/>
    </xf>
    <xf borderId="0" fillId="0" fontId="16" numFmtId="0" xfId="0" applyAlignment="1" applyFont="1">
      <alignment horizontal="right" shrinkToFit="0" vertical="bottom" wrapText="0"/>
    </xf>
    <xf borderId="23" fillId="13" fontId="15" numFmtId="0" xfId="0" applyAlignment="1" applyBorder="1" applyFont="1">
      <alignment horizontal="right" shrinkToFit="0" vertical="bottom" wrapText="0"/>
    </xf>
    <xf borderId="14" fillId="13" fontId="2" numFmtId="169" xfId="0" applyAlignment="1" applyBorder="1" applyFont="1" applyNumberFormat="1">
      <alignment shrinkToFit="0" vertical="bottom" wrapText="0"/>
    </xf>
    <xf borderId="14" fillId="13" fontId="3" numFmtId="169" xfId="0" applyAlignment="1" applyBorder="1" applyFont="1" applyNumberFormat="1">
      <alignment shrinkToFit="0" vertical="bottom" wrapText="0"/>
    </xf>
    <xf borderId="14" fillId="13" fontId="3" numFmtId="170" xfId="0" applyAlignment="1" applyBorder="1" applyFont="1" applyNumberFormat="1">
      <alignment shrinkToFit="0" vertical="bottom" wrapText="0"/>
    </xf>
    <xf borderId="14" fillId="13" fontId="2" numFmtId="171" xfId="0" applyAlignment="1" applyBorder="1" applyFont="1" applyNumberFormat="1">
      <alignment shrinkToFit="0" vertical="bottom" wrapText="0"/>
    </xf>
    <xf borderId="23" fillId="13" fontId="6" numFmtId="170" xfId="0" applyAlignment="1" applyBorder="1" applyFont="1" applyNumberFormat="1">
      <alignment shrinkToFit="0" vertical="bottom" wrapText="0"/>
    </xf>
    <xf borderId="14" fillId="13" fontId="7" numFmtId="0" xfId="0" applyAlignment="1" applyBorder="1" applyFont="1">
      <alignment horizontal="right" shrinkToFit="0" vertical="bottom" wrapText="0"/>
    </xf>
    <xf borderId="14" fillId="13" fontId="7" numFmtId="0" xfId="0" applyAlignment="1" applyBorder="1" applyFont="1">
      <alignment shrinkToFit="0" vertical="bottom" wrapText="0"/>
    </xf>
    <xf borderId="12" fillId="13" fontId="15" numFmtId="0" xfId="0" applyAlignment="1" applyBorder="1" applyFont="1">
      <alignment horizontal="right" shrinkToFit="0" vertical="bottom" wrapText="0"/>
    </xf>
    <xf borderId="0" fillId="0" fontId="2" numFmtId="169" xfId="0" applyAlignment="1" applyFont="1" applyNumberFormat="1">
      <alignment shrinkToFit="0" vertical="bottom" wrapText="0"/>
    </xf>
    <xf borderId="0" fillId="0" fontId="3" numFmtId="169" xfId="0" applyAlignment="1" applyFont="1" applyNumberForma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0" fillId="0" fontId="2" numFmtId="171" xfId="0" applyAlignment="1" applyFont="1" applyNumberFormat="1">
      <alignment shrinkToFit="0" vertical="bottom" wrapText="0"/>
    </xf>
    <xf borderId="1" fillId="0" fontId="6" numFmtId="170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170" xfId="0" applyAlignment="1" applyFont="1" applyNumberFormat="1">
      <alignment shrinkToFit="0" vertical="bottom" wrapText="0"/>
    </xf>
    <xf borderId="0" fillId="0" fontId="17" numFmtId="171" xfId="0" applyAlignment="1" applyFont="1" applyNumberFormat="1">
      <alignment shrinkToFit="0" vertical="bottom" wrapText="0"/>
    </xf>
    <xf borderId="1" fillId="0" fontId="19" numFmtId="170" xfId="0" applyAlignment="1" applyBorder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21" numFmtId="4" xfId="0" applyAlignment="1" applyBorder="1" applyFont="1" applyNumberFormat="1">
      <alignment horizontal="right" shrinkToFit="0" textRotation="90" vertical="bottom" wrapText="0"/>
    </xf>
    <xf borderId="0" fillId="0" fontId="22" numFmtId="4" xfId="0" applyAlignment="1" applyFont="1" applyNumberFormat="1">
      <alignment shrinkToFit="0" vertical="bottom" wrapText="0"/>
    </xf>
    <xf borderId="0" fillId="0" fontId="21" numFmtId="4" xfId="0" applyAlignment="1" applyFont="1" applyNumberFormat="1">
      <alignment shrinkToFit="0" vertical="bottom" wrapText="0"/>
    </xf>
    <xf borderId="0" fillId="0" fontId="23" numFmtId="169" xfId="0" applyAlignment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  <xf borderId="26" fillId="0" fontId="25" numFmtId="0" xfId="0" applyAlignment="1" applyBorder="1" applyFont="1">
      <alignment horizontal="right" shrinkToFit="0" textRotation="90" vertical="bottom" wrapText="0"/>
    </xf>
    <xf borderId="27" fillId="14" fontId="26" numFmtId="0" xfId="0" applyAlignment="1" applyBorder="1" applyFill="1" applyFont="1">
      <alignment shrinkToFit="0" vertical="bottom" wrapText="0"/>
    </xf>
    <xf borderId="28" fillId="14" fontId="27" numFmtId="0" xfId="0" applyAlignment="1" applyBorder="1" applyFont="1">
      <alignment shrinkToFit="0" vertical="bottom" wrapText="0"/>
    </xf>
    <xf borderId="28" fillId="14" fontId="28" numFmtId="0" xfId="0" applyAlignment="1" applyBorder="1" applyFont="1">
      <alignment shrinkToFit="0" vertical="bottom" wrapText="0"/>
    </xf>
    <xf borderId="28" fillId="14" fontId="28" numFmtId="4" xfId="0" applyAlignment="1" applyBorder="1" applyFont="1" applyNumberFormat="1">
      <alignment shrinkToFit="0" vertical="bottom" wrapText="0"/>
    </xf>
    <xf borderId="29" fillId="14" fontId="25" numFmtId="169" xfId="0" applyAlignment="1" applyBorder="1" applyFont="1" applyNumberFormat="1">
      <alignment shrinkToFit="0" vertical="bottom" wrapText="0"/>
    </xf>
    <xf borderId="0" fillId="0" fontId="29" numFmtId="0" xfId="0" applyAlignment="1" applyFont="1">
      <alignment shrinkToFit="0" vertical="bottom" wrapText="0"/>
    </xf>
    <xf borderId="30" fillId="0" fontId="30" numFmtId="0" xfId="0" applyAlignment="1" applyBorder="1" applyFont="1">
      <alignment horizontal="right" shrinkToFit="0" textRotation="90" vertical="bottom" wrapText="0"/>
    </xf>
    <xf borderId="31" fillId="14" fontId="31" numFmtId="0" xfId="0" applyAlignment="1" applyBorder="1" applyFont="1">
      <alignment shrinkToFit="0" vertical="bottom" wrapText="0"/>
    </xf>
    <xf borderId="9" fillId="14" fontId="32" numFmtId="0" xfId="0" applyAlignment="1" applyBorder="1" applyFont="1">
      <alignment shrinkToFit="0" vertical="bottom" wrapText="0"/>
    </xf>
    <xf borderId="9" fillId="14" fontId="28" numFmtId="0" xfId="0" applyAlignment="1" applyBorder="1" applyFont="1">
      <alignment shrinkToFit="0" vertical="bottom" wrapText="0"/>
    </xf>
    <xf borderId="9" fillId="14" fontId="28" numFmtId="4" xfId="0" applyAlignment="1" applyBorder="1" applyFont="1" applyNumberFormat="1">
      <alignment shrinkToFit="0" vertical="bottom" wrapText="0"/>
    </xf>
    <xf borderId="32" fillId="14" fontId="25" numFmtId="169" xfId="0" applyAlignment="1" applyBorder="1" applyFont="1" applyNumberFormat="1">
      <alignment shrinkToFit="0" vertical="bottom" wrapText="0"/>
    </xf>
    <xf borderId="0" fillId="0" fontId="28" numFmtId="0" xfId="0" applyAlignment="1" applyFont="1">
      <alignment shrinkToFit="0" vertical="bottom" wrapText="0"/>
    </xf>
    <xf borderId="30" fillId="0" fontId="25" numFmtId="0" xfId="0" applyAlignment="1" applyBorder="1" applyFont="1">
      <alignment horizontal="right" shrinkToFit="0" textRotation="90" vertical="bottom" wrapText="0"/>
    </xf>
    <xf borderId="31" fillId="14" fontId="26" numFmtId="0" xfId="0" applyAlignment="1" applyBorder="1" applyFont="1">
      <alignment shrinkToFit="0" vertical="bottom" wrapText="0"/>
    </xf>
    <xf borderId="33" fillId="15" fontId="25" numFmtId="176" xfId="0" applyAlignment="1" applyBorder="1" applyFill="1" applyFont="1" applyNumberFormat="1">
      <alignment horizontal="right" shrinkToFit="0" textRotation="90" vertical="bottom" wrapText="0"/>
    </xf>
    <xf borderId="30" fillId="0" fontId="26" numFmtId="0" xfId="0" applyAlignment="1" applyBorder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8" numFmtId="4" xfId="0" applyAlignment="1" applyFont="1" applyNumberFormat="1">
      <alignment shrinkToFit="0" vertical="bottom" wrapText="0"/>
    </xf>
    <xf borderId="34" fillId="0" fontId="25" numFmtId="169" xfId="0" applyAlignment="1" applyBorder="1" applyFont="1" applyNumberFormat="1">
      <alignment shrinkToFit="0" vertical="bottom" wrapText="0"/>
    </xf>
    <xf borderId="35" fillId="0" fontId="5" numFmtId="0" xfId="0" applyBorder="1" applyFont="1"/>
    <xf borderId="36" fillId="0" fontId="5" numFmtId="0" xfId="0" applyBorder="1" applyFont="1"/>
    <xf borderId="37" fillId="0" fontId="26" numFmtId="0" xfId="0" applyAlignment="1" applyBorder="1" applyFont="1">
      <alignment shrinkToFit="0" vertical="bottom" wrapText="0"/>
    </xf>
    <xf borderId="38" fillId="0" fontId="32" numFmtId="0" xfId="0" applyAlignment="1" applyBorder="1" applyFont="1">
      <alignment shrinkToFit="0" vertical="bottom" wrapText="0"/>
    </xf>
    <xf borderId="38" fillId="0" fontId="28" numFmtId="0" xfId="0" applyAlignment="1" applyBorder="1" applyFont="1">
      <alignment shrinkToFit="0" vertical="bottom" wrapText="0"/>
    </xf>
    <xf borderId="38" fillId="0" fontId="28" numFmtId="4" xfId="0" applyAlignment="1" applyBorder="1" applyFont="1" applyNumberFormat="1">
      <alignment shrinkToFit="0" vertical="bottom" wrapText="0"/>
    </xf>
    <xf borderId="39" fillId="0" fontId="25" numFmtId="169" xfId="0" applyAlignment="1" applyBorder="1" applyFont="1" applyNumberFormat="1">
      <alignment shrinkToFit="0" vertical="bottom" wrapText="0"/>
    </xf>
    <xf borderId="40" fillId="16" fontId="25" numFmtId="176" xfId="0" applyAlignment="1" applyBorder="1" applyFill="1" applyFont="1" applyNumberFormat="1">
      <alignment horizontal="right" shrinkToFit="0" textRotation="90" vertical="bottom" wrapText="0"/>
    </xf>
    <xf borderId="9" fillId="15" fontId="26" numFmtId="0" xfId="0" applyAlignment="1" applyBorder="1" applyFont="1">
      <alignment shrinkToFit="0" vertical="bottom" wrapText="0"/>
    </xf>
    <xf borderId="9" fillId="15" fontId="32" numFmtId="0" xfId="0" applyAlignment="1" applyBorder="1" applyFont="1">
      <alignment shrinkToFit="0" vertical="bottom" wrapText="0"/>
    </xf>
    <xf borderId="9" fillId="15" fontId="28" numFmtId="0" xfId="0" applyAlignment="1" applyBorder="1" applyFont="1">
      <alignment shrinkToFit="0" vertical="bottom" wrapText="0"/>
    </xf>
    <xf borderId="41" fillId="15" fontId="25" numFmtId="0" xfId="0" applyAlignment="1" applyBorder="1" applyFont="1">
      <alignment horizontal="right" shrinkToFit="0" textRotation="180" vertical="top" wrapText="0"/>
    </xf>
    <xf borderId="42" fillId="0" fontId="5" numFmtId="0" xfId="0" applyBorder="1" applyFont="1"/>
    <xf borderId="9" fillId="15" fontId="28" numFmtId="4" xfId="0" applyAlignment="1" applyBorder="1" applyFont="1" applyNumberFormat="1">
      <alignment shrinkToFit="0" vertical="bottom" wrapText="0"/>
    </xf>
    <xf borderId="12" fillId="15" fontId="25" numFmtId="169" xfId="0" applyAlignment="1" applyBorder="1" applyFont="1" applyNumberFormat="1">
      <alignment shrinkToFit="0" vertical="bottom" wrapText="0"/>
    </xf>
    <xf borderId="43" fillId="0" fontId="5" numFmtId="0" xfId="0" applyBorder="1" applyFont="1"/>
    <xf borderId="9" fillId="15" fontId="31" numFmtId="0" xfId="0" applyAlignment="1" applyBorder="1" applyFont="1">
      <alignment horizontal="left" shrinkToFit="0" vertical="bottom" wrapText="0"/>
    </xf>
    <xf borderId="44" fillId="0" fontId="5" numFmtId="0" xfId="0" applyBorder="1" applyFont="1"/>
    <xf borderId="45" fillId="0" fontId="5" numFmtId="0" xfId="0" applyBorder="1" applyFont="1"/>
    <xf borderId="46" fillId="0" fontId="5" numFmtId="0" xfId="0" applyBorder="1" applyFont="1"/>
    <xf borderId="47" fillId="0" fontId="5" numFmtId="0" xfId="0" applyBorder="1" applyFont="1"/>
    <xf borderId="48" fillId="0" fontId="5" numFmtId="0" xfId="0" applyBorder="1" applyFont="1"/>
    <xf borderId="43" fillId="0" fontId="25" numFmtId="176" xfId="0" applyAlignment="1" applyBorder="1" applyFont="1" applyNumberFormat="1">
      <alignment horizontal="right" shrinkToFit="0" textRotation="90" vertical="bottom" wrapText="0"/>
    </xf>
    <xf borderId="1" fillId="0" fontId="25" numFmtId="169" xfId="0" applyAlignment="1" applyBorder="1" applyFont="1" applyNumberFormat="1">
      <alignment shrinkToFit="0" vertical="bottom" wrapText="0"/>
    </xf>
    <xf borderId="27" fillId="17" fontId="26" numFmtId="0" xfId="0" applyAlignment="1" applyBorder="1" applyFill="1" applyFont="1">
      <alignment horizontal="right" shrinkToFit="0" textRotation="90" vertical="bottom" wrapText="0"/>
    </xf>
    <xf borderId="27" fillId="17" fontId="26" numFmtId="0" xfId="0" applyAlignment="1" applyBorder="1" applyFont="1">
      <alignment shrinkToFit="0" vertical="bottom" wrapText="0"/>
    </xf>
    <xf borderId="28" fillId="17" fontId="32" numFmtId="0" xfId="0" applyAlignment="1" applyBorder="1" applyFont="1">
      <alignment shrinkToFit="0" vertical="bottom" wrapText="0"/>
    </xf>
    <xf borderId="28" fillId="17" fontId="28" numFmtId="0" xfId="0" applyAlignment="1" applyBorder="1" applyFont="1">
      <alignment shrinkToFit="0" vertical="bottom" wrapText="0"/>
    </xf>
    <xf borderId="49" fillId="17" fontId="25" numFmtId="0" xfId="0" applyAlignment="1" applyBorder="1" applyFont="1">
      <alignment horizontal="right" shrinkToFit="0" textRotation="180" vertical="top" wrapText="0"/>
    </xf>
    <xf borderId="50" fillId="0" fontId="5" numFmtId="0" xfId="0" applyBorder="1" applyFont="1"/>
    <xf borderId="28" fillId="17" fontId="28" numFmtId="4" xfId="0" applyAlignment="1" applyBorder="1" applyFont="1" applyNumberFormat="1">
      <alignment shrinkToFit="0" vertical="bottom" wrapText="0"/>
    </xf>
    <xf borderId="29" fillId="17" fontId="25" numFmtId="169" xfId="0" applyAlignment="1" applyBorder="1" applyFont="1" applyNumberFormat="1">
      <alignment shrinkToFit="0" vertical="bottom" wrapText="0"/>
    </xf>
    <xf borderId="31" fillId="17" fontId="31" numFmtId="0" xfId="0" applyAlignment="1" applyBorder="1" applyFont="1">
      <alignment horizontal="right" shrinkToFit="0" textRotation="90" vertical="bottom" wrapText="0"/>
    </xf>
    <xf borderId="31" fillId="17" fontId="31" numFmtId="0" xfId="0" applyAlignment="1" applyBorder="1" applyFont="1">
      <alignment shrinkToFit="0" vertical="bottom" wrapText="0"/>
    </xf>
    <xf borderId="9" fillId="17" fontId="32" numFmtId="0" xfId="0" applyAlignment="1" applyBorder="1" applyFont="1">
      <alignment shrinkToFit="0" vertical="bottom" wrapText="0"/>
    </xf>
    <xf borderId="9" fillId="17" fontId="28" numFmtId="0" xfId="0" applyAlignment="1" applyBorder="1" applyFont="1">
      <alignment shrinkToFit="0" vertical="bottom" wrapText="0"/>
    </xf>
    <xf borderId="9" fillId="17" fontId="28" numFmtId="4" xfId="0" applyAlignment="1" applyBorder="1" applyFont="1" applyNumberFormat="1">
      <alignment shrinkToFit="0" vertical="bottom" wrapText="0"/>
    </xf>
    <xf borderId="32" fillId="17" fontId="25" numFmtId="169" xfId="0" applyAlignment="1" applyBorder="1" applyFont="1" applyNumberFormat="1">
      <alignment shrinkToFit="0" vertical="bottom" wrapText="0"/>
    </xf>
    <xf borderId="31" fillId="17" fontId="25" numFmtId="0" xfId="0" applyAlignment="1" applyBorder="1" applyFont="1">
      <alignment horizontal="right" shrinkToFit="0" textRotation="90" vertical="bottom" wrapText="0"/>
    </xf>
    <xf borderId="31" fillId="17" fontId="26" numFmtId="0" xfId="0" applyAlignment="1" applyBorder="1" applyFont="1">
      <alignment shrinkToFit="0" vertical="bottom" wrapText="0"/>
    </xf>
    <xf borderId="31" fillId="15" fontId="25" numFmtId="0" xfId="0" applyAlignment="1" applyBorder="1" applyFont="1">
      <alignment horizontal="right" shrinkToFit="0" textRotation="90" vertical="bottom" wrapText="0"/>
    </xf>
    <xf borderId="31" fillId="15" fontId="26" numFmtId="0" xfId="0" applyAlignment="1" applyBorder="1" applyFont="1">
      <alignment shrinkToFit="0" vertical="bottom" wrapText="0"/>
    </xf>
    <xf borderId="9" fillId="15" fontId="25" numFmtId="0" xfId="0" applyAlignment="1" applyBorder="1" applyFont="1">
      <alignment shrinkToFit="0" vertical="bottom" wrapText="0"/>
    </xf>
    <xf borderId="9" fillId="15" fontId="25" numFmtId="0" xfId="0" applyAlignment="1" applyBorder="1" applyFont="1">
      <alignment horizontal="right" shrinkToFit="0" vertical="bottom" wrapText="0"/>
    </xf>
    <xf borderId="32" fillId="15" fontId="25" numFmtId="169" xfId="0" applyAlignment="1" applyBorder="1" applyFont="1" applyNumberFormat="1">
      <alignment shrinkToFit="0" vertical="bottom" wrapText="0"/>
    </xf>
    <xf borderId="31" fillId="15" fontId="25" numFmtId="176" xfId="0" applyAlignment="1" applyBorder="1" applyFont="1" applyNumberFormat="1">
      <alignment horizontal="right" shrinkToFit="0" textRotation="90" vertical="bottom" wrapText="0"/>
    </xf>
    <xf borderId="51" fillId="15" fontId="26" numFmtId="0" xfId="0" applyAlignment="1" applyBorder="1" applyFont="1">
      <alignment shrinkToFit="0" vertical="bottom" wrapText="0"/>
    </xf>
    <xf borderId="52" fillId="15" fontId="26" numFmtId="0" xfId="0" applyAlignment="1" applyBorder="1" applyFont="1">
      <alignment shrinkToFit="0" vertical="bottom" wrapText="0"/>
    </xf>
    <xf borderId="52" fillId="15" fontId="25" numFmtId="0" xfId="0" applyAlignment="1" applyBorder="1" applyFont="1">
      <alignment shrinkToFit="0" vertical="bottom" wrapText="0"/>
    </xf>
    <xf borderId="52" fillId="15" fontId="25" numFmtId="0" xfId="0" applyAlignment="1" applyBorder="1" applyFont="1">
      <alignment horizontal="right" shrinkToFit="0" vertical="bottom" wrapText="0"/>
    </xf>
    <xf borderId="53" fillId="15" fontId="25" numFmtId="169" xfId="0" applyAlignment="1" applyBorder="1" applyFont="1" applyNumberFormat="1">
      <alignment shrinkToFit="0" vertical="bottom" wrapText="0"/>
    </xf>
    <xf borderId="9" fillId="15" fontId="25" numFmtId="4" xfId="0" applyAlignment="1" applyBorder="1" applyFont="1" applyNumberFormat="1">
      <alignment horizontal="right" shrinkToFit="0" vertical="bottom" wrapText="0"/>
    </xf>
    <xf borderId="52" fillId="15" fontId="32" numFmtId="0" xfId="0" applyAlignment="1" applyBorder="1" applyFont="1">
      <alignment shrinkToFit="0" vertical="bottom" wrapText="0"/>
    </xf>
    <xf borderId="52" fillId="15" fontId="28" numFmtId="0" xfId="0" applyAlignment="1" applyBorder="1" applyFont="1">
      <alignment shrinkToFit="0" vertical="bottom" wrapText="0"/>
    </xf>
    <xf borderId="54" fillId="0" fontId="5" numFmtId="0" xfId="0" applyBorder="1" applyFont="1"/>
    <xf borderId="55" fillId="0" fontId="5" numFmtId="0" xfId="0" applyBorder="1" applyFont="1"/>
    <xf borderId="52" fillId="15" fontId="28" numFmtId="4" xfId="0" applyAlignment="1" applyBorder="1" applyFont="1" applyNumberFormat="1">
      <alignment shrinkToFit="0" vertical="bottom" wrapText="0"/>
    </xf>
    <xf borderId="9" fillId="15" fontId="25" numFmtId="0" xfId="0" applyAlignment="1" applyBorder="1" applyFont="1">
      <alignment horizontal="right" shrinkToFit="0" textRotation="180" vertical="top" wrapText="0"/>
    </xf>
    <xf borderId="9" fillId="15" fontId="33" numFmtId="0" xfId="0" applyAlignment="1" applyBorder="1" applyFont="1">
      <alignment shrinkToFit="0" vertical="top" wrapText="0"/>
    </xf>
    <xf borderId="51" fillId="15" fontId="25" numFmtId="176" xfId="0" applyAlignment="1" applyBorder="1" applyFont="1" applyNumberFormat="1">
      <alignment horizontal="right" shrinkToFit="0" textRotation="90" vertical="bottom" wrapText="0"/>
    </xf>
    <xf borderId="52" fillId="15" fontId="33" numFmtId="0" xfId="0" applyAlignment="1" applyBorder="1" applyFont="1">
      <alignment shrinkToFit="0" vertical="top" wrapText="0"/>
    </xf>
    <xf borderId="52" fillId="15" fontId="25" numFmtId="0" xfId="0" applyAlignment="1" applyBorder="1" applyFont="1">
      <alignment horizontal="right" shrinkToFit="0" textRotation="180" vertical="top" wrapText="0"/>
    </xf>
    <xf borderId="56" fillId="18" fontId="34" numFmtId="0" xfId="0" applyAlignment="1" applyBorder="1" applyFill="1" applyFont="1">
      <alignment horizontal="right" shrinkToFit="0" textRotation="90" vertical="bottom" wrapText="0"/>
    </xf>
    <xf borderId="9" fillId="14" fontId="35" numFmtId="0" xfId="0" applyAlignment="1" applyBorder="1" applyFont="1">
      <alignment horizontal="right" shrinkToFit="0" vertical="bottom" wrapText="0"/>
    </xf>
    <xf borderId="57" fillId="14" fontId="25" numFmtId="169" xfId="0" applyAlignment="1" applyBorder="1" applyFont="1" applyNumberFormat="1">
      <alignment shrinkToFit="0" vertical="bottom" wrapText="0"/>
    </xf>
    <xf borderId="56" fillId="18" fontId="25" numFmtId="0" xfId="0" applyAlignment="1" applyBorder="1" applyFont="1">
      <alignment horizontal="right" shrinkToFit="0" textRotation="90" vertical="bottom" wrapText="0"/>
    </xf>
    <xf borderId="9" fillId="14" fontId="26" numFmtId="0" xfId="0" applyAlignment="1" applyBorder="1" applyFont="1">
      <alignment shrinkToFit="0" vertical="bottom" wrapText="0"/>
    </xf>
    <xf borderId="58" fillId="16" fontId="25" numFmtId="176" xfId="0" applyAlignment="1" applyBorder="1" applyFont="1" applyNumberFormat="1">
      <alignment horizontal="right" shrinkToFit="0" textRotation="90" vertical="bottom" wrapText="0"/>
    </xf>
    <xf borderId="9" fillId="19" fontId="26" numFmtId="0" xfId="0" applyAlignment="1" applyBorder="1" applyFill="1" applyFont="1">
      <alignment shrinkToFit="0" vertical="bottom" wrapText="0"/>
    </xf>
    <xf borderId="9" fillId="19" fontId="32" numFmtId="0" xfId="0" applyAlignment="1" applyBorder="1" applyFont="1">
      <alignment shrinkToFit="0" vertical="bottom" wrapText="0"/>
    </xf>
    <xf borderId="9" fillId="19" fontId="28" numFmtId="0" xfId="0" applyAlignment="1" applyBorder="1" applyFont="1">
      <alignment shrinkToFit="0" vertical="bottom" wrapText="0"/>
    </xf>
    <xf borderId="41" fillId="19" fontId="25" numFmtId="0" xfId="0" applyAlignment="1" applyBorder="1" applyFont="1">
      <alignment horizontal="right" shrinkToFit="0" textRotation="180" vertical="top" wrapText="0"/>
    </xf>
    <xf borderId="9" fillId="19" fontId="28" numFmtId="4" xfId="0" applyAlignment="1" applyBorder="1" applyFont="1" applyNumberFormat="1">
      <alignment shrinkToFit="0" vertical="bottom" wrapText="0"/>
    </xf>
    <xf borderId="9" fillId="19" fontId="25" numFmtId="4" xfId="0" applyAlignment="1" applyBorder="1" applyFont="1" applyNumberFormat="1">
      <alignment horizontal="right" shrinkToFit="0" vertical="bottom" wrapText="0"/>
    </xf>
    <xf borderId="57" fillId="19" fontId="25" numFmtId="169" xfId="0" applyAlignment="1" applyBorder="1" applyFont="1" applyNumberFormat="1">
      <alignment shrinkToFit="0" vertical="bottom" wrapText="0"/>
    </xf>
    <xf borderId="59" fillId="0" fontId="5" numFmtId="0" xfId="0" applyBorder="1" applyFont="1"/>
    <xf borderId="60" fillId="0" fontId="5" numFmtId="0" xfId="0" applyBorder="1" applyFont="1"/>
    <xf borderId="61" fillId="18" fontId="34" numFmtId="0" xfId="0" applyAlignment="1" applyBorder="1" applyFont="1">
      <alignment horizontal="right" shrinkToFit="0" textRotation="90" vertical="bottom" wrapText="0"/>
    </xf>
    <xf borderId="62" fillId="0" fontId="35" numFmtId="0" xfId="0" applyAlignment="1" applyBorder="1" applyFont="1">
      <alignment horizontal="right" shrinkToFit="0" vertical="bottom" wrapText="0"/>
    </xf>
    <xf borderId="62" fillId="0" fontId="32" numFmtId="0" xfId="0" applyAlignment="1" applyBorder="1" applyFont="1">
      <alignment shrinkToFit="0" vertical="bottom" wrapText="0"/>
    </xf>
    <xf borderId="62" fillId="0" fontId="28" numFmtId="0" xfId="0" applyAlignment="1" applyBorder="1" applyFont="1">
      <alignment shrinkToFit="0" vertical="bottom" wrapText="0"/>
    </xf>
    <xf borderId="63" fillId="0" fontId="25" numFmtId="169" xfId="0" applyAlignment="1" applyBorder="1" applyFont="1" applyNumberFormat="1">
      <alignment shrinkToFit="0" vertical="bottom" wrapText="0"/>
    </xf>
    <xf borderId="0" fillId="0" fontId="26" numFmtId="0" xfId="0" applyAlignment="1" applyFont="1">
      <alignment shrinkToFit="0" vertical="bottom" wrapText="0"/>
    </xf>
    <xf borderId="64" fillId="0" fontId="25" numFmtId="169" xfId="0" applyAlignment="1" applyBorder="1" applyFont="1" applyNumberFormat="1">
      <alignment shrinkToFit="0" vertical="bottom" wrapText="0"/>
    </xf>
    <xf borderId="65" fillId="0" fontId="5" numFmtId="0" xfId="0" applyBorder="1" applyFont="1"/>
    <xf borderId="66" fillId="0" fontId="5" numFmtId="0" xfId="0" applyBorder="1" applyFont="1"/>
    <xf borderId="26" fillId="0" fontId="26" numFmtId="0" xfId="0" applyAlignment="1" applyBorder="1" applyFont="1">
      <alignment horizontal="right" shrinkToFit="0" textRotation="90" vertical="bottom" wrapText="0"/>
    </xf>
    <xf borderId="26" fillId="0" fontId="26" numFmtId="0" xfId="0" applyAlignment="1" applyBorder="1" applyFont="1">
      <alignment shrinkToFit="0" vertical="bottom" wrapText="0"/>
    </xf>
    <xf borderId="67" fillId="0" fontId="32" numFmtId="0" xfId="0" applyAlignment="1" applyBorder="1" applyFont="1">
      <alignment shrinkToFit="0" vertical="bottom" wrapText="0"/>
    </xf>
    <xf borderId="67" fillId="0" fontId="28" numFmtId="0" xfId="0" applyAlignment="1" applyBorder="1" applyFont="1">
      <alignment shrinkToFit="0" vertical="bottom" wrapText="0"/>
    </xf>
    <xf borderId="67" fillId="0" fontId="28" numFmtId="4" xfId="0" applyAlignment="1" applyBorder="1" applyFont="1" applyNumberFormat="1">
      <alignment shrinkToFit="0" vertical="bottom" wrapText="0"/>
    </xf>
    <xf borderId="68" fillId="0" fontId="25" numFmtId="169" xfId="0" applyAlignment="1" applyBorder="1" applyFont="1" applyNumberFormat="1">
      <alignment shrinkToFit="0" vertical="bottom" wrapText="0"/>
    </xf>
    <xf borderId="30" fillId="0" fontId="31" numFmtId="0" xfId="0" applyAlignment="1" applyBorder="1" applyFont="1">
      <alignment horizontal="right" shrinkToFit="0" textRotation="90" vertical="bottom" wrapText="0"/>
    </xf>
    <xf borderId="30" fillId="0" fontId="31" numFmtId="0" xfId="0" applyAlignment="1" applyBorder="1" applyFont="1">
      <alignment shrinkToFit="0" vertical="bottom" wrapText="0"/>
    </xf>
    <xf borderId="69" fillId="20" fontId="25" numFmtId="0" xfId="0" applyAlignment="1" applyBorder="1" applyFill="1" applyFont="1">
      <alignment horizontal="right" shrinkToFit="0" textRotation="90" vertical="bottom" wrapText="0"/>
    </xf>
    <xf borderId="21" fillId="15" fontId="25" numFmtId="0" xfId="0" applyAlignment="1" applyBorder="1" applyFont="1">
      <alignment horizontal="right" shrinkToFit="0" textRotation="180" vertical="top" wrapText="0"/>
    </xf>
    <xf borderId="70" fillId="0" fontId="5" numFmtId="0" xfId="0" applyBorder="1" applyFont="1"/>
    <xf borderId="69" fillId="20" fontId="25" numFmtId="176" xfId="0" applyAlignment="1" applyBorder="1" applyFont="1" applyNumberFormat="1">
      <alignment horizontal="right" shrinkToFit="0" textRotation="90" vertical="bottom" wrapText="0"/>
    </xf>
    <xf borderId="71" fillId="0" fontId="5" numFmtId="0" xfId="0" applyBorder="1" applyFont="1"/>
    <xf borderId="27" fillId="20" fontId="25" numFmtId="0" xfId="0" applyAlignment="1" applyBorder="1" applyFont="1">
      <alignment horizontal="right" shrinkToFit="0" textRotation="90" vertical="bottom" wrapText="0"/>
    </xf>
    <xf borderId="27" fillId="15" fontId="26" numFmtId="0" xfId="0" applyAlignment="1" applyBorder="1" applyFont="1">
      <alignment shrinkToFit="0" vertical="bottom" wrapText="0"/>
    </xf>
    <xf borderId="28" fillId="15" fontId="32" numFmtId="0" xfId="0" applyAlignment="1" applyBorder="1" applyFont="1">
      <alignment shrinkToFit="0" vertical="bottom" wrapText="0"/>
    </xf>
    <xf borderId="28" fillId="15" fontId="28" numFmtId="0" xfId="0" applyAlignment="1" applyBorder="1" applyFont="1">
      <alignment shrinkToFit="0" vertical="bottom" wrapText="0"/>
    </xf>
    <xf borderId="28" fillId="15" fontId="25" numFmtId="0" xfId="0" applyAlignment="1" applyBorder="1" applyFont="1">
      <alignment horizontal="right" shrinkToFit="0" vertical="bottom" wrapText="0"/>
    </xf>
    <xf borderId="72" fillId="15" fontId="25" numFmtId="0" xfId="0" applyAlignment="1" applyBorder="1" applyFont="1">
      <alignment horizontal="right" shrinkToFit="0" textRotation="180" vertical="top" wrapText="0"/>
    </xf>
    <xf borderId="28" fillId="15" fontId="28" numFmtId="4" xfId="0" applyAlignment="1" applyBorder="1" applyFont="1" applyNumberFormat="1">
      <alignment shrinkToFit="0" vertical="bottom" wrapText="0"/>
    </xf>
    <xf borderId="28" fillId="15" fontId="25" numFmtId="4" xfId="0" applyAlignment="1" applyBorder="1" applyFont="1" applyNumberFormat="1">
      <alignment horizontal="right" shrinkToFit="0" vertical="bottom" wrapText="0"/>
    </xf>
    <xf borderId="29" fillId="15" fontId="25" numFmtId="169" xfId="0" applyAlignment="1" applyBorder="1" applyFont="1" applyNumberFormat="1">
      <alignment shrinkToFit="0" vertical="bottom" wrapText="0"/>
    </xf>
    <xf borderId="31" fillId="20" fontId="25" numFmtId="0" xfId="0" applyAlignment="1" applyBorder="1" applyFont="1">
      <alignment horizontal="right" shrinkToFit="0" textRotation="90" vertical="bottom" wrapText="0"/>
    </xf>
    <xf borderId="51" fillId="20" fontId="25" numFmtId="0" xfId="0" applyAlignment="1" applyBorder="1" applyFont="1">
      <alignment horizontal="right" shrinkToFit="0" textRotation="90" vertical="bottom" wrapText="0"/>
    </xf>
    <xf borderId="0" fillId="0" fontId="28" numFmtId="0" xfId="0" applyAlignment="1" applyFont="1">
      <alignment horizontal="right" shrinkToFit="0" textRotation="90" vertical="bottom" wrapText="0"/>
    </xf>
    <xf borderId="0" fillId="0" fontId="25" numFmtId="169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20" numFmtId="0" xfId="0" applyAlignment="1" applyFont="1">
      <alignment horizontal="left" shrinkToFit="0" vertical="bottom" wrapText="0"/>
    </xf>
    <xf borderId="9" fillId="15" fontId="28" numFmtId="0" xfId="0" applyAlignment="1" applyBorder="1" applyFont="1">
      <alignment horizontal="right" shrinkToFit="0" textRotation="90" vertical="bottom" wrapText="0"/>
    </xf>
    <xf borderId="9" fillId="15" fontId="8" numFmtId="0" xfId="0" applyAlignment="1" applyBorder="1" applyFont="1">
      <alignment horizontal="left" shrinkToFit="0" vertical="bottom" wrapText="0"/>
    </xf>
    <xf borderId="9" fillId="15" fontId="25" numFmtId="169" xfId="0" applyAlignment="1" applyBorder="1" applyFont="1" applyNumberFormat="1">
      <alignment shrinkToFit="0" vertical="bottom" wrapText="0"/>
    </xf>
    <xf borderId="9" fillId="15" fontId="20" numFmtId="0" xfId="0" applyAlignment="1" applyBorder="1" applyFont="1">
      <alignment horizontal="left" shrinkToFit="0" vertical="bottom" wrapText="0"/>
    </xf>
    <xf borderId="9" fillId="15" fontId="15" numFmtId="0" xfId="0" applyAlignment="1" applyBorder="1" applyFont="1">
      <alignment horizontal="left" shrinkToFit="0" vertical="bottom" wrapText="0"/>
    </xf>
    <xf borderId="1" fillId="0" fontId="28" numFmtId="0" xfId="0" applyAlignment="1" applyBorder="1" applyFont="1">
      <alignment horizontal="right" shrinkToFit="0" textRotation="90" vertical="bottom" wrapText="0"/>
    </xf>
    <xf borderId="9" fillId="3" fontId="36" numFmtId="0" xfId="0" applyAlignment="1" applyBorder="1" applyFont="1">
      <alignment shrinkToFit="0" vertical="bottom" wrapText="0"/>
    </xf>
    <xf borderId="9" fillId="3" fontId="37" numFmtId="169" xfId="0" applyAlignment="1" applyBorder="1" applyFont="1" applyNumberFormat="1">
      <alignment shrinkToFit="0" vertical="bottom" wrapText="0"/>
    </xf>
    <xf borderId="9" fillId="3" fontId="36" numFmtId="0" xfId="0" applyAlignment="1" applyBorder="1" applyFont="1">
      <alignment horizontal="center" shrinkToFit="0" vertical="bottom" wrapText="0"/>
    </xf>
    <xf borderId="9" fillId="3" fontId="28" numFmtId="0" xfId="0" applyAlignment="1" applyBorder="1" applyFont="1">
      <alignment shrinkToFit="0" vertical="bottom" wrapText="0"/>
    </xf>
    <xf borderId="1" fillId="0" fontId="25" numFmtId="0" xfId="0" applyAlignment="1" applyBorder="1" applyFont="1">
      <alignment horizontal="right" shrinkToFit="0" textRotation="90" vertical="bottom" wrapText="0"/>
    </xf>
    <xf borderId="9" fillId="3" fontId="37" numFmtId="0" xfId="0" applyAlignment="1" applyBorder="1" applyFont="1">
      <alignment shrinkToFit="0" vertical="bottom" wrapText="0"/>
    </xf>
    <xf borderId="9" fillId="3" fontId="36" numFmtId="4" xfId="0" applyAlignment="1" applyBorder="1" applyFont="1" applyNumberFormat="1">
      <alignment shrinkToFit="0" vertical="bottom" wrapText="0"/>
    </xf>
    <xf borderId="9" fillId="3" fontId="38" numFmtId="4" xfId="0" applyAlignment="1" applyBorder="1" applyFont="1" applyNumberFormat="1">
      <alignment shrinkToFit="0" vertical="bottom" wrapText="0"/>
    </xf>
    <xf borderId="9" fillId="3" fontId="37" numFmtId="4" xfId="0" applyAlignment="1" applyBorder="1" applyFont="1" applyNumberFormat="1">
      <alignment shrinkToFit="0" vertical="bottom" wrapText="0"/>
    </xf>
    <xf borderId="9" fillId="3" fontId="39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6.png"/><Relationship Id="rId22" Type="http://schemas.openxmlformats.org/officeDocument/2006/relationships/image" Target="../media/image13.png"/><Relationship Id="rId21" Type="http://schemas.openxmlformats.org/officeDocument/2006/relationships/image" Target="../media/image17.png"/><Relationship Id="rId24" Type="http://schemas.openxmlformats.org/officeDocument/2006/relationships/image" Target="../media/image20.png"/><Relationship Id="rId23" Type="http://schemas.openxmlformats.org/officeDocument/2006/relationships/image" Target="../media/image12.png"/><Relationship Id="rId1" Type="http://schemas.openxmlformats.org/officeDocument/2006/relationships/image" Target="../media/image23.png"/><Relationship Id="rId2" Type="http://schemas.openxmlformats.org/officeDocument/2006/relationships/image" Target="../media/image8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9.png"/><Relationship Id="rId26" Type="http://schemas.openxmlformats.org/officeDocument/2006/relationships/image" Target="../media/image24.png"/><Relationship Id="rId25" Type="http://schemas.openxmlformats.org/officeDocument/2006/relationships/image" Target="../media/image19.png"/><Relationship Id="rId28" Type="http://schemas.openxmlformats.org/officeDocument/2006/relationships/image" Target="../media/image34.png"/><Relationship Id="rId27" Type="http://schemas.openxmlformats.org/officeDocument/2006/relationships/image" Target="../media/image18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29" Type="http://schemas.openxmlformats.org/officeDocument/2006/relationships/image" Target="../media/image28.png"/><Relationship Id="rId7" Type="http://schemas.openxmlformats.org/officeDocument/2006/relationships/image" Target="../media/image6.png"/><Relationship Id="rId8" Type="http://schemas.openxmlformats.org/officeDocument/2006/relationships/image" Target="../media/image33.png"/><Relationship Id="rId31" Type="http://schemas.openxmlformats.org/officeDocument/2006/relationships/image" Target="../media/image26.png"/><Relationship Id="rId30" Type="http://schemas.openxmlformats.org/officeDocument/2006/relationships/image" Target="../media/image29.png"/><Relationship Id="rId11" Type="http://schemas.openxmlformats.org/officeDocument/2006/relationships/image" Target="../media/image14.png"/><Relationship Id="rId33" Type="http://schemas.openxmlformats.org/officeDocument/2006/relationships/image" Target="../media/image27.png"/><Relationship Id="rId10" Type="http://schemas.openxmlformats.org/officeDocument/2006/relationships/image" Target="../media/image11.png"/><Relationship Id="rId32" Type="http://schemas.openxmlformats.org/officeDocument/2006/relationships/image" Target="../media/image31.png"/><Relationship Id="rId13" Type="http://schemas.openxmlformats.org/officeDocument/2006/relationships/image" Target="../media/image22.png"/><Relationship Id="rId35" Type="http://schemas.openxmlformats.org/officeDocument/2006/relationships/image" Target="../media/image32.png"/><Relationship Id="rId12" Type="http://schemas.openxmlformats.org/officeDocument/2006/relationships/image" Target="../media/image10.png"/><Relationship Id="rId34" Type="http://schemas.openxmlformats.org/officeDocument/2006/relationships/image" Target="../media/image25.png"/><Relationship Id="rId15" Type="http://schemas.openxmlformats.org/officeDocument/2006/relationships/image" Target="../media/image5.png"/><Relationship Id="rId14" Type="http://schemas.openxmlformats.org/officeDocument/2006/relationships/image" Target="../media/image15.png"/><Relationship Id="rId17" Type="http://schemas.openxmlformats.org/officeDocument/2006/relationships/image" Target="../media/image30.png"/><Relationship Id="rId16" Type="http://schemas.openxmlformats.org/officeDocument/2006/relationships/image" Target="../media/image7.png"/><Relationship Id="rId19" Type="http://schemas.openxmlformats.org/officeDocument/2006/relationships/image" Target="../media/image35.png"/><Relationship Id="rId18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17</xdr:row>
      <xdr:rowOff>0</xdr:rowOff>
    </xdr:from>
    <xdr:ext cx="2133600" cy="885825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45</xdr:row>
      <xdr:rowOff>0</xdr:rowOff>
    </xdr:from>
    <xdr:ext cx="1943100" cy="90487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2057400" cy="8953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2000250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40</xdr:row>
      <xdr:rowOff>581025</xdr:rowOff>
    </xdr:from>
    <xdr:ext cx="2333625" cy="8953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45</xdr:row>
      <xdr:rowOff>0</xdr:rowOff>
    </xdr:from>
    <xdr:ext cx="1676400" cy="8858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16</xdr:row>
      <xdr:rowOff>228600</xdr:rowOff>
    </xdr:from>
    <xdr:ext cx="1724025" cy="89535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743075" cy="885825"/>
    <xdr:pic>
      <xdr:nvPicPr>
        <xdr:cNvPr id="0" name="image3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1790700" cy="9144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2152650" cy="89535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1666875" cy="8858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41</xdr:row>
      <xdr:rowOff>0</xdr:rowOff>
    </xdr:from>
    <xdr:ext cx="2286000" cy="89535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2105025" cy="895350"/>
    <xdr:pic>
      <xdr:nvPicPr>
        <xdr:cNvPr id="0" name="image2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2324100" cy="876300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2247900" cy="885825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1790700" cy="895350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9</xdr:row>
      <xdr:rowOff>0</xdr:rowOff>
    </xdr:from>
    <xdr:ext cx="2257425" cy="904875"/>
    <xdr:pic>
      <xdr:nvPicPr>
        <xdr:cNvPr id="0" name="image3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9</xdr:row>
      <xdr:rowOff>0</xdr:rowOff>
    </xdr:from>
    <xdr:ext cx="1952625" cy="8858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2343150" cy="876300"/>
    <xdr:pic>
      <xdr:nvPicPr>
        <xdr:cNvPr id="0" name="image3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1943100" cy="876300"/>
    <xdr:pic>
      <xdr:nvPicPr>
        <xdr:cNvPr id="0" name="image1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1943100" cy="895350"/>
    <xdr:pic>
      <xdr:nvPicPr>
        <xdr:cNvPr id="0" name="image1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19300" cy="876300"/>
    <xdr:pic>
      <xdr:nvPicPr>
        <xdr:cNvPr id="0" name="image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108</xdr:row>
      <xdr:rowOff>114300</xdr:rowOff>
    </xdr:from>
    <xdr:ext cx="9191625" cy="5505450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4648200" cy="1257300"/>
    <xdr:pic>
      <xdr:nvPicPr>
        <xdr:cNvPr id="0" name="image2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4600575" cy="1247775"/>
    <xdr:pic>
      <xdr:nvPicPr>
        <xdr:cNvPr id="0" name="image1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5</xdr:row>
      <xdr:rowOff>0</xdr:rowOff>
    </xdr:from>
    <xdr:ext cx="2524125" cy="1133475"/>
    <xdr:pic>
      <xdr:nvPicPr>
        <xdr:cNvPr id="0" name="image2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2552700" cy="1133475"/>
    <xdr:pic>
      <xdr:nvPicPr>
        <xdr:cNvPr id="0" name="image1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3495675" cy="1266825"/>
    <xdr:pic>
      <xdr:nvPicPr>
        <xdr:cNvPr id="0" name="image3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2562225" cy="1123950"/>
    <xdr:pic>
      <xdr:nvPicPr>
        <xdr:cNvPr id="0" name="image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113</xdr:row>
      <xdr:rowOff>209550</xdr:rowOff>
    </xdr:from>
    <xdr:ext cx="1524000" cy="133350"/>
    <xdr:pic>
      <xdr:nvPicPr>
        <xdr:cNvPr id="0" name="image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2390775" cy="990600"/>
    <xdr:pic>
      <xdr:nvPicPr>
        <xdr:cNvPr id="0" name="image26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3486150" cy="1247775"/>
    <xdr:pic>
      <xdr:nvPicPr>
        <xdr:cNvPr id="0" name="image3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113</xdr:row>
      <xdr:rowOff>209550</xdr:rowOff>
    </xdr:from>
    <xdr:ext cx="1314450" cy="1209675"/>
    <xdr:pic>
      <xdr:nvPicPr>
        <xdr:cNvPr id="0" name="image2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108</xdr:row>
      <xdr:rowOff>200025</xdr:rowOff>
    </xdr:from>
    <xdr:ext cx="3800475" cy="581025"/>
    <xdr:pic>
      <xdr:nvPicPr>
        <xdr:cNvPr id="0" name="image2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1</xdr:row>
      <xdr:rowOff>0</xdr:rowOff>
    </xdr:from>
    <xdr:ext cx="3829050" cy="443865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ee.covana@gmail.com" TargetMode="External"/><Relationship Id="rId2" Type="http://schemas.openxmlformats.org/officeDocument/2006/relationships/hyperlink" Target="mailto:deech.eva@gmail.com" TargetMode="External"/><Relationship Id="rId3" Type="http://schemas.openxmlformats.org/officeDocument/2006/relationships/hyperlink" Target="mailto:neverplayedever@gmail.com" TargetMode="External"/><Relationship Id="rId4" Type="http://schemas.openxmlformats.org/officeDocument/2006/relationships/hyperlink" Target="mailto:deemandiman@gmail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deecovana@gmail.com" TargetMode="External"/><Relationship Id="rId6" Type="http://schemas.openxmlformats.org/officeDocument/2006/relationships/hyperlink" Target="mailto:dmytro.cheva@gmail.com" TargetMode="External"/><Relationship Id="rId7" Type="http://schemas.openxmlformats.org/officeDocument/2006/relationships/hyperlink" Target="mailto:dmitry.cheva@gmail.com" TargetMode="External"/><Relationship Id="rId8" Type="http://schemas.openxmlformats.org/officeDocument/2006/relationships/hyperlink" Target="mailto:wukelan.che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rMGSF8emLoM4m80w6mN6Wq6maqwPUab6dpAIr-aZtk/edit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75"/>
    <col customWidth="1" min="2" max="3" width="12.25"/>
    <col customWidth="1" min="4" max="4" width="15.75"/>
    <col customWidth="1" min="5" max="5" width="11.63"/>
    <col customWidth="1" min="6" max="6" width="8.75"/>
    <col customWidth="1" min="7" max="7" width="12.63"/>
    <col customWidth="1" min="8" max="8" width="19.25"/>
    <col customWidth="1" min="9" max="9" width="14.5"/>
    <col customWidth="1" min="10" max="34" width="12.75"/>
  </cols>
  <sheetData>
    <row r="1">
      <c r="A1" s="1"/>
      <c r="B1" s="2">
        <f t="shared" ref="B1:D1" si="1">SUM(B3:B68)</f>
        <v>10607900</v>
      </c>
      <c r="C1" s="3">
        <f t="shared" si="1"/>
        <v>757797870</v>
      </c>
      <c r="D1" s="4">
        <f t="shared" si="1"/>
        <v>768405770</v>
      </c>
      <c r="E1" s="5">
        <v>45816.0</v>
      </c>
      <c r="F1" s="6"/>
      <c r="G1" s="7">
        <f>SUM(G3:G68)</f>
        <v>28270226</v>
      </c>
      <c r="H1" s="8"/>
    </row>
    <row r="2">
      <c r="A2" s="9" t="s">
        <v>0</v>
      </c>
      <c r="B2" s="10" t="s">
        <v>1</v>
      </c>
      <c r="C2" s="10" t="s">
        <v>2</v>
      </c>
      <c r="D2" s="11" t="s">
        <v>3</v>
      </c>
      <c r="E2" s="12" t="s">
        <v>4</v>
      </c>
      <c r="F2" s="13" t="s">
        <v>5</v>
      </c>
      <c r="G2" s="14" t="s">
        <v>6</v>
      </c>
      <c r="H2" s="8"/>
    </row>
    <row r="3">
      <c r="A3" s="9" t="s">
        <v>7</v>
      </c>
      <c r="B3" s="15">
        <v>7800.0</v>
      </c>
      <c r="C3" s="16">
        <f>144673000+6600000*20</f>
        <v>276673000</v>
      </c>
      <c r="D3" s="17">
        <f>C3+B3</f>
        <v>276680800</v>
      </c>
      <c r="E3" s="18">
        <f>G3-F3</f>
        <v>3352192</v>
      </c>
      <c r="F3" s="19">
        <v>406000.0</v>
      </c>
      <c r="G3" s="20">
        <v>3758192.0</v>
      </c>
      <c r="H3" s="21" t="s">
        <v>8</v>
      </c>
      <c r="I3" s="22" t="s">
        <v>9</v>
      </c>
    </row>
    <row r="4">
      <c r="A4" s="23" t="s">
        <v>10</v>
      </c>
      <c r="B4" s="24"/>
      <c r="C4" s="24"/>
      <c r="D4" s="25"/>
      <c r="E4" s="26"/>
      <c r="F4" s="27"/>
      <c r="G4" s="28"/>
      <c r="H4" s="8"/>
    </row>
    <row r="5">
      <c r="A5" s="29" t="s">
        <v>11</v>
      </c>
      <c r="B5" s="24"/>
      <c r="C5" s="24"/>
      <c r="D5" s="25"/>
      <c r="E5" s="26"/>
      <c r="F5" s="27"/>
      <c r="G5" s="28"/>
      <c r="H5" s="8"/>
    </row>
    <row r="6">
      <c r="A6" s="30" t="s">
        <v>12</v>
      </c>
      <c r="B6" s="31">
        <v>24000.0</v>
      </c>
      <c r="C6" s="32">
        <v>5.195457E7</v>
      </c>
      <c r="D6" s="33">
        <f>C6+B6</f>
        <v>51978570</v>
      </c>
      <c r="E6" s="34">
        <f>G6-F6</f>
        <v>3029162</v>
      </c>
      <c r="F6" s="35">
        <v>480494.0</v>
      </c>
      <c r="G6" s="36">
        <v>3509656.0</v>
      </c>
      <c r="H6" s="37" t="s">
        <v>13</v>
      </c>
      <c r="I6" s="38" t="s">
        <v>9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</row>
    <row r="7">
      <c r="A7" s="40" t="s">
        <v>14</v>
      </c>
      <c r="B7" s="24"/>
      <c r="C7" s="24"/>
      <c r="D7" s="25"/>
      <c r="E7" s="26"/>
      <c r="F7" s="27"/>
      <c r="G7" s="28"/>
      <c r="H7" s="8"/>
    </row>
    <row r="8">
      <c r="A8" s="41" t="s">
        <v>15</v>
      </c>
      <c r="B8" s="42"/>
      <c r="C8" s="42"/>
      <c r="D8" s="43"/>
      <c r="E8" s="44"/>
      <c r="F8" s="45"/>
      <c r="G8" s="46"/>
      <c r="H8" s="47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>
      <c r="A9" s="9" t="s">
        <v>16</v>
      </c>
      <c r="B9" s="15">
        <v>50000.0</v>
      </c>
      <c r="C9" s="16">
        <v>1.086E8</v>
      </c>
      <c r="D9" s="17">
        <f>C9+B9</f>
        <v>108650000</v>
      </c>
      <c r="E9" s="18">
        <f>G9-F9</f>
        <v>3483200</v>
      </c>
      <c r="F9" s="19">
        <v>302400.0</v>
      </c>
      <c r="G9" s="20">
        <v>3785600.0</v>
      </c>
      <c r="H9" s="37" t="s">
        <v>13</v>
      </c>
      <c r="I9" s="49" t="s">
        <v>9</v>
      </c>
    </row>
    <row r="10">
      <c r="A10" s="40" t="s">
        <v>17</v>
      </c>
      <c r="B10" s="24"/>
      <c r="C10" s="24"/>
      <c r="D10" s="25"/>
      <c r="E10" s="26"/>
      <c r="F10" s="27"/>
      <c r="G10" s="28"/>
      <c r="H10" s="8"/>
    </row>
    <row r="11">
      <c r="A11" s="40"/>
      <c r="B11" s="24"/>
      <c r="C11" s="24"/>
      <c r="D11" s="25"/>
      <c r="E11" s="26"/>
      <c r="F11" s="27"/>
      <c r="G11" s="28"/>
      <c r="H11" s="8"/>
    </row>
    <row r="12">
      <c r="A12" s="50" t="s">
        <v>18</v>
      </c>
      <c r="B12" s="31">
        <v>50000.0</v>
      </c>
      <c r="C12" s="51">
        <v>1.38563E7</v>
      </c>
      <c r="D12" s="33">
        <f>C12+B12</f>
        <v>13906300</v>
      </c>
      <c r="E12" s="34">
        <f>G12-F12</f>
        <v>2345500</v>
      </c>
      <c r="F12" s="35">
        <v>326700.0</v>
      </c>
      <c r="G12" s="36">
        <v>2672200.0</v>
      </c>
      <c r="H12" s="52" t="s">
        <v>13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>
      <c r="A13" s="23" t="s">
        <v>19</v>
      </c>
      <c r="B13" s="24"/>
      <c r="C13" s="24"/>
      <c r="D13" s="25"/>
      <c r="E13" s="26"/>
      <c r="F13" s="27"/>
      <c r="G13" s="28"/>
      <c r="H13" s="8"/>
    </row>
    <row r="14">
      <c r="A14" s="53" t="s">
        <v>20</v>
      </c>
      <c r="B14" s="42"/>
      <c r="C14" s="42"/>
      <c r="D14" s="43"/>
      <c r="E14" s="44"/>
      <c r="F14" s="45"/>
      <c r="G14" s="46"/>
      <c r="H14" s="47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</row>
    <row r="15">
      <c r="A15" s="54" t="s">
        <v>21</v>
      </c>
      <c r="B15" s="15">
        <v>1.01E7</v>
      </c>
      <c r="C15" s="16">
        <v>6.0E7</v>
      </c>
      <c r="D15" s="17">
        <f>C15+B15</f>
        <v>70100000</v>
      </c>
      <c r="E15" s="18">
        <f>G15-F15</f>
        <v>956736</v>
      </c>
      <c r="F15" s="19">
        <v>501700.0</v>
      </c>
      <c r="G15" s="20">
        <v>1458436.0</v>
      </c>
      <c r="H15" s="55" t="s">
        <v>13</v>
      </c>
      <c r="I15" s="56" t="s">
        <v>22</v>
      </c>
    </row>
    <row r="16">
      <c r="A16" s="23" t="s">
        <v>23</v>
      </c>
      <c r="B16" s="24"/>
      <c r="C16" s="24"/>
      <c r="D16" s="25"/>
      <c r="E16" s="26"/>
      <c r="F16" s="27"/>
      <c r="G16" s="28"/>
      <c r="H16" s="8"/>
      <c r="I16" s="57"/>
    </row>
    <row r="17">
      <c r="A17" s="29" t="s">
        <v>24</v>
      </c>
      <c r="B17" s="58"/>
      <c r="C17" s="58"/>
      <c r="D17" s="59"/>
      <c r="E17" s="60"/>
      <c r="F17" s="61"/>
      <c r="G17" s="62"/>
      <c r="H17" s="8"/>
      <c r="I17" s="57"/>
    </row>
    <row r="18">
      <c r="A18" s="63" t="s">
        <v>25</v>
      </c>
      <c r="B18" s="31">
        <v>41100.0</v>
      </c>
      <c r="C18" s="51">
        <v>0.0</v>
      </c>
      <c r="D18" s="33">
        <f>C18+B18</f>
        <v>41100</v>
      </c>
      <c r="E18" s="34">
        <f>G18-F18</f>
        <v>370000</v>
      </c>
      <c r="F18" s="35">
        <v>30000.0</v>
      </c>
      <c r="G18" s="36">
        <v>400000.0</v>
      </c>
      <c r="H18" s="64" t="s">
        <v>26</v>
      </c>
      <c r="I18" s="57"/>
      <c r="J18" s="65"/>
      <c r="K18" s="65"/>
      <c r="L18" s="65"/>
      <c r="M18" s="65"/>
      <c r="N18" s="66">
        <f>E15</f>
        <v>956736</v>
      </c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</row>
    <row r="19">
      <c r="A19" s="23" t="s">
        <v>27</v>
      </c>
      <c r="B19" s="24"/>
      <c r="C19" s="24"/>
      <c r="D19" s="25"/>
      <c r="E19" s="26"/>
      <c r="F19" s="27"/>
      <c r="G19" s="28"/>
      <c r="H19" s="8"/>
      <c r="I19" s="57"/>
    </row>
    <row r="20">
      <c r="A20" s="29" t="s">
        <v>28</v>
      </c>
      <c r="B20" s="24"/>
      <c r="C20" s="24"/>
      <c r="D20" s="25"/>
      <c r="E20" s="26"/>
      <c r="F20" s="27"/>
      <c r="G20" s="28"/>
      <c r="I20" s="67"/>
    </row>
    <row r="21" ht="15.75" customHeight="1">
      <c r="A21" s="30" t="s">
        <v>29</v>
      </c>
      <c r="B21" s="31">
        <v>50000.0</v>
      </c>
      <c r="C21" s="51">
        <v>1.08059E8</v>
      </c>
      <c r="D21" s="33">
        <f>C21+B21</f>
        <v>108109000</v>
      </c>
      <c r="E21" s="34">
        <f>G21-F21</f>
        <v>4107637</v>
      </c>
      <c r="F21" s="35">
        <v>20000.0</v>
      </c>
      <c r="G21" s="36">
        <v>4127637.0</v>
      </c>
      <c r="H21" s="68" t="s">
        <v>30</v>
      </c>
      <c r="I21" s="49" t="s">
        <v>9</v>
      </c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ht="15.75" customHeight="1">
      <c r="A22" s="23" t="s">
        <v>31</v>
      </c>
      <c r="B22" s="24"/>
      <c r="C22" s="24"/>
      <c r="D22" s="25"/>
      <c r="E22" s="26"/>
      <c r="F22" s="27"/>
      <c r="G22" s="28"/>
      <c r="H22" s="8"/>
    </row>
    <row r="23" ht="15.75" customHeight="1">
      <c r="A23" s="41" t="s">
        <v>32</v>
      </c>
      <c r="B23" s="42"/>
      <c r="C23" s="42"/>
      <c r="D23" s="43"/>
      <c r="E23" s="44"/>
      <c r="F23" s="45"/>
      <c r="G23" s="46"/>
      <c r="H23" s="47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</row>
    <row r="24" ht="15.75" customHeight="1">
      <c r="A24" s="30" t="s">
        <v>33</v>
      </c>
      <c r="B24" s="31">
        <v>195000.0</v>
      </c>
      <c r="C24" s="51">
        <v>6.5565E7</v>
      </c>
      <c r="D24" s="33">
        <f>C24+B24</f>
        <v>65760000</v>
      </c>
      <c r="E24" s="34">
        <f>G24-F24</f>
        <v>4285505</v>
      </c>
      <c r="F24" s="35">
        <v>20000.0</v>
      </c>
      <c r="G24" s="36">
        <v>4305505.0</v>
      </c>
      <c r="H24" s="69" t="s">
        <v>34</v>
      </c>
      <c r="I24" s="38" t="s">
        <v>9</v>
      </c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ht="15.75" customHeight="1">
      <c r="A25" s="23" t="s">
        <v>35</v>
      </c>
      <c r="B25" s="24"/>
      <c r="C25" s="24"/>
      <c r="D25" s="25"/>
      <c r="E25" s="26"/>
      <c r="F25" s="27"/>
      <c r="G25" s="28"/>
      <c r="H25" s="8"/>
    </row>
    <row r="26" ht="15.75" customHeight="1">
      <c r="A26" s="53" t="s">
        <v>36</v>
      </c>
      <c r="B26" s="42"/>
      <c r="C26" s="42"/>
      <c r="D26" s="43"/>
      <c r="E26" s="44"/>
      <c r="F26" s="45"/>
      <c r="G26" s="46"/>
      <c r="H26" s="47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</row>
    <row r="27" ht="15.75" customHeight="1">
      <c r="A27" s="30" t="s">
        <v>37</v>
      </c>
      <c r="B27" s="31">
        <v>90000.0</v>
      </c>
      <c r="C27" s="32">
        <v>7.309E7</v>
      </c>
      <c r="D27" s="33">
        <f>C27+B27</f>
        <v>73180000</v>
      </c>
      <c r="E27" s="34">
        <f>G27-F27</f>
        <v>4233000</v>
      </c>
      <c r="F27" s="35">
        <v>20000.0</v>
      </c>
      <c r="G27" s="36">
        <v>4253000.0</v>
      </c>
      <c r="H27" s="70" t="s">
        <v>34</v>
      </c>
      <c r="I27" s="38" t="s">
        <v>9</v>
      </c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ht="15.75" customHeight="1">
      <c r="A28" s="40" t="s">
        <v>38</v>
      </c>
      <c r="B28" s="24"/>
      <c r="C28" s="24"/>
      <c r="D28" s="25"/>
      <c r="E28" s="26"/>
      <c r="F28" s="27"/>
      <c r="G28" s="28"/>
      <c r="H28" s="8"/>
    </row>
    <row r="29" ht="15.75" customHeight="1">
      <c r="A29" s="71"/>
      <c r="B29" s="42"/>
      <c r="C29" s="42"/>
      <c r="D29" s="43"/>
      <c r="E29" s="44"/>
      <c r="F29" s="45"/>
      <c r="G29" s="46"/>
      <c r="H29" s="47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</row>
    <row r="30" ht="15.75" customHeight="1">
      <c r="A30" s="72" t="s">
        <v>39</v>
      </c>
      <c r="B30" s="73"/>
      <c r="C30" s="73"/>
      <c r="D30" s="74"/>
      <c r="E30" s="75"/>
      <c r="F30" s="76"/>
      <c r="G30" s="77"/>
      <c r="H30" s="78" t="s">
        <v>40</v>
      </c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</row>
    <row r="31" ht="15.75" customHeight="1">
      <c r="A31" s="80"/>
      <c r="B31" s="73"/>
      <c r="C31" s="73"/>
      <c r="D31" s="74"/>
      <c r="E31" s="75"/>
      <c r="F31" s="76"/>
      <c r="G31" s="77"/>
      <c r="H31" s="78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</row>
    <row r="32" ht="15.75" customHeight="1">
      <c r="A32" s="80"/>
      <c r="B32" s="73"/>
      <c r="C32" s="73"/>
      <c r="D32" s="74"/>
      <c r="E32" s="75"/>
      <c r="F32" s="76"/>
      <c r="G32" s="77"/>
      <c r="H32" s="78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</row>
    <row r="33" ht="15.75" customHeight="1">
      <c r="A33" s="81" t="s">
        <v>41</v>
      </c>
      <c r="B33" s="24"/>
      <c r="C33" s="24"/>
      <c r="D33" s="25"/>
      <c r="E33" s="26"/>
      <c r="F33" s="27"/>
      <c r="G33" s="28"/>
      <c r="H33" s="8"/>
    </row>
    <row r="34" ht="15.75" customHeight="1">
      <c r="A34" s="23" t="s">
        <v>42</v>
      </c>
      <c r="B34" s="24"/>
      <c r="C34" s="24"/>
      <c r="D34" s="25"/>
      <c r="E34" s="26"/>
      <c r="F34" s="27"/>
      <c r="G34" s="28"/>
      <c r="H34" s="8"/>
    </row>
    <row r="35" ht="15.75" customHeight="1">
      <c r="A35" s="53" t="s">
        <v>43</v>
      </c>
      <c r="B35" s="24"/>
      <c r="C35" s="24"/>
      <c r="D35" s="25"/>
      <c r="E35" s="26"/>
      <c r="F35" s="27"/>
      <c r="G35" s="28"/>
      <c r="H35" s="8"/>
    </row>
    <row r="36" ht="15.75" customHeight="1">
      <c r="A36" s="81" t="s">
        <v>44</v>
      </c>
      <c r="B36" s="24"/>
      <c r="C36" s="24"/>
      <c r="D36" s="25"/>
      <c r="E36" s="26"/>
      <c r="F36" s="27"/>
      <c r="G36" s="28"/>
      <c r="H36" s="82" t="s">
        <v>45</v>
      </c>
    </row>
    <row r="37" ht="15.75" customHeight="1">
      <c r="A37" s="81"/>
      <c r="B37" s="24"/>
      <c r="C37" s="24"/>
      <c r="D37" s="25"/>
      <c r="E37" s="26"/>
      <c r="F37" s="27"/>
      <c r="G37" s="28"/>
      <c r="H37" s="8"/>
    </row>
    <row r="38" ht="15.75" customHeight="1">
      <c r="A38" s="81"/>
      <c r="B38" s="24"/>
      <c r="C38" s="24"/>
      <c r="D38" s="25"/>
      <c r="E38" s="26"/>
      <c r="F38" s="27"/>
      <c r="G38" s="28"/>
      <c r="H38" s="8"/>
    </row>
    <row r="39" ht="15.75" customHeight="1">
      <c r="A39" s="81" t="s">
        <v>46</v>
      </c>
      <c r="B39" s="24"/>
      <c r="C39" s="24"/>
      <c r="D39" s="25"/>
      <c r="E39" s="26"/>
      <c r="F39" s="27"/>
      <c r="G39" s="28"/>
      <c r="H39" s="8"/>
    </row>
    <row r="40" ht="15.75" customHeight="1">
      <c r="A40" s="81"/>
      <c r="B40" s="24"/>
      <c r="C40" s="24"/>
      <c r="D40" s="25"/>
      <c r="E40" s="26"/>
      <c r="F40" s="27"/>
      <c r="G40" s="28"/>
      <c r="H40" s="8"/>
    </row>
    <row r="41" ht="15.75" customHeight="1">
      <c r="A41" s="81"/>
      <c r="B41" s="24"/>
      <c r="C41" s="24"/>
      <c r="D41" s="25"/>
      <c r="E41" s="26"/>
      <c r="F41" s="27"/>
      <c r="G41" s="28"/>
      <c r="H41" s="8"/>
    </row>
    <row r="42" ht="15.75" customHeight="1">
      <c r="A42" s="81" t="s">
        <v>47</v>
      </c>
      <c r="B42" s="24"/>
      <c r="C42" s="24"/>
      <c r="D42" s="25"/>
      <c r="E42" s="26"/>
      <c r="F42" s="27"/>
      <c r="G42" s="28"/>
      <c r="H42" s="8"/>
    </row>
    <row r="43" ht="15.75" customHeight="1">
      <c r="A43" s="81"/>
      <c r="B43" s="24"/>
      <c r="C43" s="24"/>
      <c r="D43" s="25"/>
      <c r="E43" s="26"/>
      <c r="F43" s="27"/>
      <c r="G43" s="28"/>
      <c r="H43" s="8"/>
    </row>
    <row r="44" ht="15.75" customHeight="1">
      <c r="A44" s="81"/>
      <c r="B44" s="24"/>
      <c r="C44" s="24"/>
      <c r="D44" s="25"/>
      <c r="E44" s="26"/>
      <c r="F44" s="27"/>
      <c r="G44" s="28"/>
      <c r="H44" s="8"/>
    </row>
    <row r="45" ht="15.75" customHeight="1">
      <c r="A45" s="81" t="s">
        <v>48</v>
      </c>
      <c r="B45" s="24"/>
      <c r="C45" s="24"/>
      <c r="D45" s="25"/>
      <c r="E45" s="26"/>
      <c r="F45" s="27"/>
      <c r="G45" s="28"/>
      <c r="H45" s="8"/>
    </row>
    <row r="46" ht="15.75" customHeight="1">
      <c r="A46" s="81"/>
      <c r="B46" s="24"/>
      <c r="C46" s="24"/>
      <c r="D46" s="25"/>
      <c r="E46" s="26"/>
      <c r="F46" s="27"/>
      <c r="G46" s="28"/>
      <c r="H46" s="8"/>
    </row>
    <row r="47" ht="15.75" customHeight="1">
      <c r="A47" s="81"/>
      <c r="B47" s="24"/>
      <c r="C47" s="24"/>
      <c r="D47" s="25"/>
      <c r="E47" s="26"/>
      <c r="F47" s="27"/>
      <c r="G47" s="28"/>
      <c r="H47" s="8"/>
    </row>
    <row r="48" ht="15.75" customHeight="1">
      <c r="A48" s="81" t="s">
        <v>49</v>
      </c>
      <c r="B48" s="24"/>
      <c r="C48" s="24"/>
      <c r="D48" s="25"/>
      <c r="E48" s="26"/>
      <c r="F48" s="27"/>
      <c r="G48" s="28"/>
      <c r="H48" s="8"/>
    </row>
    <row r="49" ht="15.75" customHeight="1">
      <c r="A49" s="81"/>
      <c r="B49" s="24"/>
      <c r="C49" s="24"/>
      <c r="D49" s="25"/>
      <c r="E49" s="26"/>
      <c r="F49" s="27"/>
      <c r="G49" s="28"/>
      <c r="H49" s="8"/>
    </row>
    <row r="50" ht="15.75" customHeight="1">
      <c r="A50" s="81"/>
      <c r="B50" s="24"/>
      <c r="C50" s="24"/>
      <c r="D50" s="25"/>
      <c r="E50" s="26"/>
      <c r="F50" s="27"/>
      <c r="G50" s="28"/>
      <c r="H50" s="8"/>
    </row>
    <row r="51" ht="15.75" customHeight="1">
      <c r="A51" s="81" t="s">
        <v>50</v>
      </c>
      <c r="B51" s="24"/>
      <c r="C51" s="24"/>
      <c r="D51" s="25"/>
      <c r="E51" s="26"/>
      <c r="F51" s="27"/>
      <c r="G51" s="28"/>
      <c r="H51" s="8"/>
    </row>
    <row r="52" ht="15.75" customHeight="1">
      <c r="A52" s="81"/>
      <c r="B52" s="24"/>
      <c r="C52" s="24"/>
      <c r="D52" s="25"/>
      <c r="E52" s="26"/>
      <c r="F52" s="27"/>
      <c r="G52" s="28"/>
      <c r="H52" s="8"/>
    </row>
    <row r="53" ht="15.75" customHeight="1">
      <c r="A53" s="81"/>
      <c r="B53" s="24"/>
      <c r="C53" s="24"/>
      <c r="D53" s="25"/>
      <c r="E53" s="26"/>
      <c r="F53" s="27"/>
      <c r="G53" s="28"/>
      <c r="H53" s="8"/>
    </row>
    <row r="54" ht="15.75" customHeight="1">
      <c r="A54" s="81" t="s">
        <v>51</v>
      </c>
      <c r="B54" s="24"/>
      <c r="C54" s="24"/>
      <c r="D54" s="25"/>
      <c r="E54" s="26"/>
      <c r="F54" s="27"/>
      <c r="G54" s="28"/>
      <c r="H54" s="8"/>
    </row>
    <row r="55" ht="15.75" customHeight="1">
      <c r="A55" s="81"/>
      <c r="B55" s="24"/>
      <c r="C55" s="24"/>
      <c r="D55" s="25"/>
      <c r="E55" s="26"/>
      <c r="F55" s="27"/>
      <c r="G55" s="28"/>
      <c r="H55" s="8"/>
    </row>
    <row r="56" ht="15.75" customHeight="1">
      <c r="A56" s="81"/>
      <c r="B56" s="24"/>
      <c r="C56" s="24"/>
      <c r="D56" s="25"/>
      <c r="E56" s="26"/>
      <c r="F56" s="27"/>
      <c r="G56" s="28"/>
      <c r="H56" s="8"/>
    </row>
    <row r="57" ht="15.75" customHeight="1">
      <c r="A57" s="81" t="s">
        <v>37</v>
      </c>
      <c r="B57" s="24"/>
      <c r="C57" s="24"/>
      <c r="D57" s="25"/>
      <c r="E57" s="26"/>
      <c r="F57" s="27"/>
      <c r="G57" s="28"/>
      <c r="H57" s="8"/>
    </row>
    <row r="58" ht="15.75" customHeight="1">
      <c r="A58" s="81"/>
      <c r="B58" s="24"/>
      <c r="C58" s="24"/>
      <c r="D58" s="25"/>
      <c r="E58" s="26"/>
      <c r="F58" s="27"/>
      <c r="G58" s="28"/>
      <c r="H58" s="8"/>
    </row>
    <row r="59" ht="15.75" customHeight="1">
      <c r="A59" s="81"/>
      <c r="B59" s="24"/>
      <c r="C59" s="24"/>
      <c r="D59" s="25"/>
      <c r="E59" s="26"/>
      <c r="F59" s="27"/>
      <c r="G59" s="28"/>
      <c r="H59" s="8"/>
    </row>
    <row r="60" ht="15.75" customHeight="1">
      <c r="A60" s="81" t="s">
        <v>52</v>
      </c>
      <c r="B60" s="24"/>
      <c r="C60" s="24"/>
      <c r="D60" s="25"/>
      <c r="E60" s="26"/>
      <c r="F60" s="27"/>
      <c r="G60" s="28"/>
      <c r="H60" s="8"/>
    </row>
    <row r="61" ht="15.75" customHeight="1">
      <c r="A61" s="81"/>
      <c r="B61" s="24"/>
      <c r="C61" s="24"/>
      <c r="D61" s="25"/>
      <c r="E61" s="26"/>
      <c r="F61" s="27"/>
      <c r="G61" s="28"/>
      <c r="H61" s="8"/>
    </row>
    <row r="62" ht="15.75" customHeight="1">
      <c r="A62" s="81"/>
      <c r="B62" s="24"/>
      <c r="C62" s="24"/>
      <c r="D62" s="25"/>
      <c r="E62" s="26"/>
      <c r="F62" s="27"/>
      <c r="G62" s="28"/>
      <c r="H62" s="8"/>
    </row>
    <row r="63" ht="15.75" customHeight="1">
      <c r="A63" s="81" t="s">
        <v>53</v>
      </c>
      <c r="B63" s="24"/>
      <c r="C63" s="24"/>
      <c r="D63" s="25"/>
      <c r="E63" s="26"/>
      <c r="F63" s="27"/>
      <c r="G63" s="28"/>
      <c r="H63" s="8"/>
    </row>
    <row r="64" ht="15.75" customHeight="1">
      <c r="A64" s="81"/>
      <c r="B64" s="24"/>
      <c r="C64" s="24"/>
      <c r="D64" s="25"/>
      <c r="E64" s="26"/>
      <c r="F64" s="27"/>
      <c r="G64" s="28"/>
      <c r="H64" s="8"/>
    </row>
    <row r="65" ht="15.75" customHeight="1">
      <c r="A65" s="81"/>
      <c r="B65" s="24"/>
      <c r="C65" s="24"/>
      <c r="D65" s="25"/>
      <c r="E65" s="26"/>
      <c r="F65" s="27"/>
      <c r="G65" s="28"/>
      <c r="H65" s="8"/>
    </row>
    <row r="66" ht="15.75" customHeight="1">
      <c r="A66" s="83"/>
      <c r="B66" s="84"/>
      <c r="C66" s="84"/>
      <c r="D66" s="85"/>
      <c r="E66" s="86"/>
      <c r="F66" s="87"/>
      <c r="G66" s="88"/>
      <c r="H66" s="89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</row>
    <row r="67" ht="15.75" customHeight="1">
      <c r="A67" s="91"/>
      <c r="B67" s="73"/>
      <c r="C67" s="73"/>
      <c r="D67" s="74"/>
      <c r="E67" s="75"/>
      <c r="F67" s="76"/>
      <c r="G67" s="77"/>
      <c r="H67" s="78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</row>
    <row r="68" ht="15.75" customHeight="1">
      <c r="A68" s="91"/>
      <c r="B68" s="73"/>
      <c r="C68" s="73"/>
      <c r="D68" s="74"/>
      <c r="E68" s="75"/>
      <c r="F68" s="76"/>
      <c r="G68" s="77"/>
      <c r="H68" s="78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</row>
    <row r="69" ht="15.75" customHeight="1">
      <c r="A69" s="9"/>
      <c r="B69" s="92"/>
      <c r="C69" s="92"/>
      <c r="D69" s="93"/>
      <c r="E69" s="94"/>
      <c r="F69" s="95"/>
      <c r="G69" s="96"/>
      <c r="H69" s="8"/>
    </row>
    <row r="70" ht="15.75" customHeight="1">
      <c r="A70" s="9"/>
      <c r="B70" s="92"/>
      <c r="C70" s="92"/>
      <c r="D70" s="93"/>
      <c r="E70" s="94"/>
      <c r="F70" s="95"/>
      <c r="G70" s="96"/>
      <c r="H70" s="8"/>
    </row>
    <row r="71" ht="15.75" customHeight="1">
      <c r="A71" s="9"/>
      <c r="B71" s="92"/>
      <c r="C71" s="92"/>
      <c r="D71" s="93"/>
      <c r="E71" s="94"/>
      <c r="F71" s="95"/>
      <c r="G71" s="96"/>
      <c r="H71" s="8"/>
    </row>
    <row r="72" ht="15.75" customHeight="1">
      <c r="A72" s="9"/>
      <c r="B72" s="92"/>
      <c r="C72" s="92"/>
      <c r="D72" s="93"/>
      <c r="E72" s="94"/>
      <c r="F72" s="95"/>
      <c r="G72" s="96"/>
      <c r="H72" s="8"/>
    </row>
    <row r="73" ht="15.75" customHeight="1">
      <c r="A73" s="9"/>
      <c r="B73" s="92"/>
      <c r="C73" s="92"/>
      <c r="D73" s="93"/>
      <c r="E73" s="94"/>
      <c r="F73" s="95"/>
      <c r="G73" s="96"/>
      <c r="H73" s="8"/>
    </row>
    <row r="74" ht="15.75" customHeight="1">
      <c r="A74" s="9"/>
      <c r="B74" s="92"/>
      <c r="C74" s="92"/>
      <c r="D74" s="93"/>
      <c r="E74" s="94"/>
      <c r="F74" s="95"/>
      <c r="G74" s="96"/>
      <c r="H74" s="8"/>
    </row>
    <row r="75" ht="15.75" customHeight="1">
      <c r="A75" s="9"/>
      <c r="B75" s="92"/>
      <c r="C75" s="92"/>
      <c r="D75" s="93"/>
      <c r="E75" s="94"/>
      <c r="F75" s="95"/>
      <c r="G75" s="96"/>
      <c r="H75" s="8"/>
    </row>
    <row r="76" ht="15.75" customHeight="1">
      <c r="A76" s="9"/>
      <c r="B76" s="92"/>
      <c r="C76" s="92"/>
      <c r="D76" s="93"/>
      <c r="E76" s="94"/>
      <c r="F76" s="95"/>
      <c r="G76" s="96"/>
      <c r="H76" s="8"/>
    </row>
    <row r="77" ht="15.75" customHeight="1">
      <c r="A77" s="9"/>
      <c r="B77" s="92"/>
      <c r="C77" s="92"/>
      <c r="D77" s="93"/>
      <c r="E77" s="94"/>
      <c r="F77" s="95"/>
      <c r="G77" s="96"/>
      <c r="H77" s="8"/>
    </row>
    <row r="78" ht="15.75" customHeight="1">
      <c r="A78" s="9"/>
      <c r="B78" s="92"/>
      <c r="C78" s="92"/>
      <c r="D78" s="93"/>
      <c r="E78" s="94"/>
      <c r="F78" s="95"/>
      <c r="G78" s="96"/>
      <c r="H78" s="8"/>
    </row>
    <row r="79" ht="15.75" customHeight="1">
      <c r="A79" s="9"/>
      <c r="B79" s="92"/>
      <c r="C79" s="92"/>
      <c r="D79" s="93"/>
      <c r="E79" s="94"/>
      <c r="F79" s="95"/>
      <c r="G79" s="96"/>
      <c r="H79" s="8"/>
    </row>
    <row r="80" ht="15.75" customHeight="1">
      <c r="A80" s="9"/>
      <c r="B80" s="92"/>
      <c r="C80" s="92"/>
      <c r="D80" s="93"/>
      <c r="E80" s="94"/>
      <c r="F80" s="95"/>
      <c r="G80" s="96"/>
      <c r="H80" s="8"/>
    </row>
    <row r="81" ht="15.75" customHeight="1">
      <c r="A81" s="9"/>
      <c r="B81" s="92"/>
      <c r="C81" s="92"/>
      <c r="D81" s="93"/>
      <c r="E81" s="94"/>
      <c r="F81" s="95"/>
      <c r="G81" s="96"/>
      <c r="H81" s="8"/>
    </row>
    <row r="82" ht="15.75" customHeight="1">
      <c r="A82" s="9"/>
      <c r="B82" s="92"/>
      <c r="C82" s="92"/>
      <c r="D82" s="93"/>
      <c r="E82" s="94"/>
      <c r="F82" s="95"/>
      <c r="G82" s="96"/>
      <c r="H82" s="8"/>
    </row>
    <row r="83" ht="15.75" customHeight="1">
      <c r="A83" s="9"/>
      <c r="B83" s="97"/>
      <c r="C83" s="97"/>
      <c r="D83" s="98"/>
      <c r="E83" s="99"/>
      <c r="F83" s="100"/>
      <c r="G83" s="101"/>
      <c r="H83" s="8"/>
    </row>
    <row r="84" ht="15.75" customHeight="1">
      <c r="A84" s="9"/>
      <c r="B84" s="97"/>
      <c r="C84" s="97"/>
      <c r="D84" s="98"/>
      <c r="E84" s="99"/>
      <c r="F84" s="100"/>
      <c r="G84" s="101"/>
      <c r="H84" s="8"/>
    </row>
    <row r="85" ht="15.75" customHeight="1">
      <c r="A85" s="9"/>
      <c r="B85" s="97"/>
      <c r="C85" s="97"/>
      <c r="D85" s="98"/>
      <c r="E85" s="99"/>
      <c r="F85" s="100"/>
      <c r="G85" s="101"/>
      <c r="H85" s="8"/>
    </row>
    <row r="86" ht="15.75" customHeight="1">
      <c r="A86" s="9"/>
      <c r="B86" s="92"/>
      <c r="C86" s="92"/>
      <c r="D86" s="93"/>
      <c r="E86" s="94"/>
      <c r="F86" s="95"/>
      <c r="G86" s="96"/>
      <c r="H86" s="8"/>
    </row>
    <row r="87" ht="15.75" customHeight="1">
      <c r="A87" s="9"/>
      <c r="B87" s="92"/>
      <c r="C87" s="92"/>
      <c r="D87" s="93"/>
      <c r="E87" s="94"/>
      <c r="F87" s="95"/>
      <c r="G87" s="96"/>
      <c r="H87" s="8"/>
    </row>
    <row r="88" ht="15.75" customHeight="1">
      <c r="A88" s="9"/>
      <c r="B88" s="92"/>
      <c r="C88" s="92"/>
      <c r="D88" s="93"/>
      <c r="E88" s="94"/>
      <c r="F88" s="95"/>
      <c r="G88" s="96"/>
      <c r="H88" s="8"/>
    </row>
    <row r="89" ht="15.75" customHeight="1">
      <c r="A89" s="9"/>
      <c r="B89" s="92"/>
      <c r="C89" s="92"/>
      <c r="D89" s="93"/>
      <c r="E89" s="94"/>
      <c r="F89" s="95"/>
      <c r="G89" s="96"/>
      <c r="H89" s="8"/>
    </row>
    <row r="90" ht="15.75" customHeight="1">
      <c r="A90" s="9"/>
      <c r="B90" s="92"/>
      <c r="C90" s="92"/>
      <c r="D90" s="93"/>
      <c r="E90" s="94"/>
      <c r="F90" s="95"/>
      <c r="G90" s="96"/>
      <c r="H90" s="8"/>
    </row>
    <row r="91" ht="15.75" customHeight="1">
      <c r="A91" s="9"/>
      <c r="B91" s="92"/>
      <c r="C91" s="92"/>
      <c r="D91" s="93"/>
      <c r="E91" s="94"/>
      <c r="F91" s="95"/>
      <c r="G91" s="96"/>
      <c r="H91" s="8"/>
    </row>
    <row r="92" ht="15.75" customHeight="1">
      <c r="A92" s="9"/>
      <c r="B92" s="92"/>
      <c r="C92" s="92"/>
      <c r="D92" s="93"/>
      <c r="E92" s="94"/>
      <c r="F92" s="95"/>
      <c r="G92" s="96"/>
      <c r="H92" s="8"/>
    </row>
    <row r="93" ht="15.75" customHeight="1">
      <c r="A93" s="9"/>
      <c r="B93" s="92"/>
      <c r="C93" s="92"/>
      <c r="D93" s="93"/>
      <c r="E93" s="94"/>
      <c r="F93" s="95"/>
      <c r="G93" s="96"/>
      <c r="H93" s="8"/>
    </row>
    <row r="94" ht="15.75" customHeight="1">
      <c r="A94" s="9"/>
      <c r="B94" s="92"/>
      <c r="C94" s="92"/>
      <c r="D94" s="93"/>
      <c r="E94" s="94"/>
      <c r="F94" s="95"/>
      <c r="G94" s="96"/>
      <c r="H94" s="8"/>
    </row>
    <row r="95" ht="15.75" customHeight="1">
      <c r="A95" s="9"/>
      <c r="B95" s="92"/>
      <c r="C95" s="92"/>
      <c r="D95" s="93"/>
      <c r="E95" s="94"/>
      <c r="F95" s="95"/>
      <c r="G95" s="96"/>
      <c r="H95" s="8"/>
    </row>
    <row r="96" ht="15.75" customHeight="1">
      <c r="A96" s="9"/>
      <c r="B96" s="92"/>
      <c r="C96" s="92"/>
      <c r="D96" s="93"/>
      <c r="E96" s="94"/>
      <c r="F96" s="95"/>
      <c r="G96" s="96"/>
      <c r="H96" s="8"/>
    </row>
    <row r="97" ht="15.75" customHeight="1">
      <c r="A97" s="9"/>
      <c r="B97" s="92"/>
      <c r="C97" s="92"/>
      <c r="D97" s="93"/>
      <c r="E97" s="94"/>
      <c r="F97" s="95"/>
      <c r="G97" s="96"/>
      <c r="H97" s="8"/>
    </row>
    <row r="98" ht="15.75" customHeight="1">
      <c r="A98" s="9"/>
      <c r="B98" s="92"/>
      <c r="C98" s="92"/>
      <c r="D98" s="93"/>
      <c r="E98" s="94"/>
      <c r="F98" s="95"/>
      <c r="G98" s="96"/>
      <c r="H98" s="8"/>
    </row>
    <row r="99" ht="15.75" customHeight="1">
      <c r="A99" s="9"/>
      <c r="B99" s="92"/>
      <c r="C99" s="92"/>
      <c r="D99" s="93"/>
      <c r="E99" s="94"/>
      <c r="F99" s="95"/>
      <c r="G99" s="96"/>
      <c r="H99" s="8"/>
    </row>
    <row r="100" ht="15.75" customHeight="1">
      <c r="A100" s="9"/>
      <c r="B100" s="92"/>
      <c r="C100" s="92"/>
      <c r="D100" s="93"/>
      <c r="E100" s="94"/>
      <c r="F100" s="95"/>
      <c r="G100" s="96"/>
      <c r="H100" s="8"/>
    </row>
    <row r="101" ht="15.75" customHeight="1">
      <c r="A101" s="9"/>
      <c r="B101" s="92"/>
      <c r="C101" s="92"/>
      <c r="D101" s="93"/>
      <c r="E101" s="94"/>
      <c r="F101" s="95"/>
      <c r="G101" s="96"/>
      <c r="H101" s="8"/>
    </row>
    <row r="102" ht="15.75" customHeight="1">
      <c r="A102" s="9"/>
      <c r="B102" s="92"/>
      <c r="C102" s="92"/>
      <c r="D102" s="93"/>
      <c r="E102" s="94"/>
      <c r="F102" s="95"/>
      <c r="G102" s="96"/>
      <c r="H102" s="8"/>
    </row>
    <row r="103" ht="15.75" customHeight="1">
      <c r="A103" s="9"/>
      <c r="B103" s="92"/>
      <c r="C103" s="92"/>
      <c r="D103" s="93"/>
      <c r="E103" s="94"/>
      <c r="F103" s="95"/>
      <c r="G103" s="96"/>
      <c r="H103" s="8"/>
    </row>
    <row r="104" ht="15.75" customHeight="1">
      <c r="A104" s="9"/>
      <c r="B104" s="92"/>
      <c r="C104" s="92"/>
      <c r="D104" s="93"/>
      <c r="E104" s="94"/>
      <c r="F104" s="95"/>
      <c r="G104" s="96"/>
      <c r="H104" s="8"/>
    </row>
    <row r="105" ht="15.75" customHeight="1">
      <c r="A105" s="9"/>
      <c r="B105" s="92"/>
      <c r="C105" s="92"/>
      <c r="D105" s="93"/>
      <c r="E105" s="94"/>
      <c r="F105" s="95"/>
      <c r="G105" s="96"/>
      <c r="H105" s="8"/>
    </row>
    <row r="106" ht="15.75" customHeight="1">
      <c r="A106" s="9"/>
      <c r="B106" s="92"/>
      <c r="C106" s="92"/>
      <c r="D106" s="93"/>
      <c r="E106" s="94"/>
      <c r="F106" s="95"/>
      <c r="G106" s="96"/>
      <c r="H106" s="8"/>
    </row>
    <row r="107" ht="15.75" customHeight="1">
      <c r="A107" s="9"/>
      <c r="B107" s="92"/>
      <c r="C107" s="92"/>
      <c r="D107" s="93"/>
      <c r="E107" s="94"/>
      <c r="F107" s="95"/>
      <c r="G107" s="96"/>
      <c r="H107" s="8"/>
    </row>
    <row r="108" ht="15.75" customHeight="1">
      <c r="A108" s="9"/>
      <c r="B108" s="92"/>
      <c r="C108" s="92"/>
      <c r="D108" s="93"/>
      <c r="E108" s="94"/>
      <c r="F108" s="95"/>
      <c r="G108" s="96"/>
      <c r="H108" s="8"/>
    </row>
    <row r="109" ht="15.75" customHeight="1">
      <c r="A109" s="9"/>
      <c r="B109" s="92"/>
      <c r="C109" s="92"/>
      <c r="D109" s="93"/>
      <c r="E109" s="94"/>
      <c r="F109" s="95"/>
      <c r="G109" s="96"/>
      <c r="H109" s="8"/>
    </row>
    <row r="110" ht="15.75" customHeight="1">
      <c r="A110" s="9"/>
      <c r="B110" s="92"/>
      <c r="C110" s="92"/>
      <c r="D110" s="93"/>
      <c r="E110" s="94"/>
      <c r="F110" s="95"/>
      <c r="G110" s="96"/>
      <c r="H110" s="8"/>
    </row>
    <row r="111" ht="15.75" customHeight="1">
      <c r="A111" s="9"/>
      <c r="B111" s="92"/>
      <c r="C111" s="92"/>
      <c r="D111" s="93"/>
      <c r="E111" s="94"/>
      <c r="F111" s="95"/>
      <c r="G111" s="96"/>
      <c r="H111" s="8"/>
    </row>
    <row r="112" ht="15.75" customHeight="1">
      <c r="A112" s="9"/>
      <c r="B112" s="92"/>
      <c r="C112" s="92"/>
      <c r="D112" s="93"/>
      <c r="E112" s="94"/>
      <c r="F112" s="95"/>
      <c r="G112" s="96"/>
      <c r="H112" s="8"/>
    </row>
    <row r="113" ht="15.75" customHeight="1">
      <c r="A113" s="9"/>
      <c r="B113" s="92"/>
      <c r="C113" s="92"/>
      <c r="D113" s="93"/>
      <c r="E113" s="94"/>
      <c r="F113" s="95"/>
      <c r="G113" s="96"/>
      <c r="H113" s="8"/>
    </row>
    <row r="114" ht="15.75" customHeight="1">
      <c r="A114" s="9"/>
      <c r="B114" s="92"/>
      <c r="C114" s="92"/>
      <c r="D114" s="93"/>
      <c r="E114" s="94"/>
      <c r="F114" s="95"/>
      <c r="G114" s="96"/>
      <c r="H114" s="8"/>
    </row>
    <row r="115" ht="15.75" customHeight="1">
      <c r="A115" s="9"/>
      <c r="B115" s="92"/>
      <c r="C115" s="92"/>
      <c r="D115" s="93"/>
      <c r="E115" s="94"/>
      <c r="F115" s="95"/>
      <c r="G115" s="96"/>
      <c r="H115" s="8"/>
    </row>
    <row r="116" ht="15.75" customHeight="1">
      <c r="A116" s="9"/>
      <c r="B116" s="92"/>
      <c r="C116" s="92"/>
      <c r="D116" s="93"/>
      <c r="E116" s="94"/>
      <c r="F116" s="95"/>
      <c r="G116" s="96"/>
      <c r="H116" s="8"/>
    </row>
    <row r="117" ht="15.75" customHeight="1">
      <c r="A117" s="9"/>
      <c r="B117" s="92"/>
      <c r="C117" s="92"/>
      <c r="D117" s="93"/>
      <c r="E117" s="94"/>
      <c r="F117" s="95"/>
      <c r="G117" s="96"/>
      <c r="H117" s="8"/>
    </row>
    <row r="118" ht="15.75" customHeight="1">
      <c r="A118" s="9"/>
      <c r="B118" s="92"/>
      <c r="C118" s="92"/>
      <c r="D118" s="93"/>
      <c r="E118" s="94"/>
      <c r="F118" s="95"/>
      <c r="G118" s="96"/>
      <c r="H118" s="8"/>
    </row>
    <row r="119" ht="15.75" customHeight="1">
      <c r="A119" s="9"/>
      <c r="B119" s="92"/>
      <c r="C119" s="92"/>
      <c r="D119" s="93"/>
      <c r="E119" s="94"/>
      <c r="F119" s="95"/>
      <c r="G119" s="96"/>
      <c r="H119" s="8"/>
    </row>
    <row r="120" ht="15.75" customHeight="1">
      <c r="A120" s="9"/>
      <c r="B120" s="92"/>
      <c r="C120" s="92"/>
      <c r="D120" s="93"/>
      <c r="E120" s="94"/>
      <c r="F120" s="95"/>
      <c r="G120" s="96"/>
      <c r="H120" s="8"/>
    </row>
    <row r="121" ht="15.75" customHeight="1">
      <c r="A121" s="9"/>
      <c r="B121" s="92"/>
      <c r="C121" s="92"/>
      <c r="D121" s="93"/>
      <c r="E121" s="94"/>
      <c r="F121" s="95"/>
      <c r="G121" s="96"/>
      <c r="H121" s="8"/>
    </row>
    <row r="122" ht="15.75" customHeight="1">
      <c r="A122" s="9"/>
      <c r="B122" s="92"/>
      <c r="C122" s="92"/>
      <c r="D122" s="93"/>
      <c r="E122" s="94"/>
      <c r="F122" s="95"/>
      <c r="G122" s="96"/>
      <c r="H122" s="8"/>
    </row>
    <row r="123" ht="15.75" customHeight="1">
      <c r="A123" s="9"/>
      <c r="B123" s="92"/>
      <c r="C123" s="92"/>
      <c r="D123" s="93"/>
      <c r="E123" s="94"/>
      <c r="F123" s="95"/>
      <c r="G123" s="96"/>
      <c r="H123" s="8"/>
    </row>
    <row r="124" ht="15.75" customHeight="1">
      <c r="A124" s="9"/>
      <c r="B124" s="92"/>
      <c r="C124" s="92"/>
      <c r="D124" s="93"/>
      <c r="E124" s="94"/>
      <c r="F124" s="95"/>
      <c r="G124" s="96"/>
      <c r="H124" s="8"/>
    </row>
    <row r="125" ht="15.75" customHeight="1">
      <c r="A125" s="9"/>
      <c r="B125" s="92"/>
      <c r="C125" s="92"/>
      <c r="D125" s="93"/>
      <c r="E125" s="94"/>
      <c r="F125" s="95"/>
      <c r="G125" s="96"/>
      <c r="H125" s="8"/>
    </row>
    <row r="126" ht="15.75" customHeight="1">
      <c r="A126" s="9"/>
      <c r="B126" s="92"/>
      <c r="C126" s="92"/>
      <c r="D126" s="93"/>
      <c r="E126" s="94"/>
      <c r="F126" s="95"/>
      <c r="G126" s="96"/>
      <c r="H126" s="8"/>
    </row>
    <row r="127" ht="15.75" customHeight="1">
      <c r="A127" s="9"/>
      <c r="B127" s="92"/>
      <c r="C127" s="92"/>
      <c r="D127" s="93"/>
      <c r="E127" s="94"/>
      <c r="F127" s="95"/>
      <c r="G127" s="96"/>
      <c r="H127" s="8"/>
    </row>
    <row r="128" ht="15.75" customHeight="1">
      <c r="A128" s="9"/>
      <c r="B128" s="92"/>
      <c r="C128" s="92"/>
      <c r="D128" s="93"/>
      <c r="E128" s="94"/>
      <c r="F128" s="95"/>
      <c r="G128" s="96"/>
      <c r="H128" s="8"/>
    </row>
    <row r="129" ht="15.75" customHeight="1">
      <c r="A129" s="9"/>
      <c r="B129" s="92"/>
      <c r="C129" s="92"/>
      <c r="D129" s="93"/>
      <c r="E129" s="94"/>
      <c r="F129" s="95"/>
      <c r="G129" s="96"/>
      <c r="H129" s="8"/>
    </row>
    <row r="130" ht="15.75" customHeight="1">
      <c r="A130" s="9"/>
      <c r="B130" s="92"/>
      <c r="C130" s="92"/>
      <c r="D130" s="93"/>
      <c r="E130" s="94"/>
      <c r="F130" s="95"/>
      <c r="G130" s="96"/>
      <c r="H130" s="8"/>
    </row>
    <row r="131" ht="15.75" customHeight="1">
      <c r="A131" s="9"/>
      <c r="B131" s="92"/>
      <c r="C131" s="92"/>
      <c r="D131" s="93"/>
      <c r="E131" s="94"/>
      <c r="F131" s="95"/>
      <c r="G131" s="96"/>
      <c r="H131" s="8"/>
    </row>
    <row r="132" ht="15.75" customHeight="1">
      <c r="A132" s="9"/>
      <c r="B132" s="92"/>
      <c r="C132" s="92"/>
      <c r="D132" s="93"/>
      <c r="E132" s="94"/>
      <c r="F132" s="95"/>
      <c r="G132" s="96"/>
      <c r="H132" s="8"/>
    </row>
    <row r="133" ht="15.75" customHeight="1">
      <c r="A133" s="9"/>
      <c r="B133" s="92"/>
      <c r="C133" s="92"/>
      <c r="D133" s="93"/>
      <c r="E133" s="94"/>
      <c r="F133" s="95"/>
      <c r="G133" s="96"/>
      <c r="H133" s="8"/>
    </row>
    <row r="134" ht="15.75" customHeight="1">
      <c r="A134" s="9"/>
      <c r="B134" s="92"/>
      <c r="C134" s="92"/>
      <c r="D134" s="93"/>
      <c r="E134" s="94"/>
      <c r="F134" s="95"/>
      <c r="G134" s="96"/>
      <c r="H134" s="8"/>
    </row>
    <row r="135" ht="15.75" customHeight="1">
      <c r="A135" s="9"/>
      <c r="B135" s="92"/>
      <c r="C135" s="92"/>
      <c r="D135" s="93"/>
      <c r="E135" s="94"/>
      <c r="F135" s="95"/>
      <c r="G135" s="96"/>
      <c r="H135" s="8"/>
    </row>
    <row r="136" ht="15.75" customHeight="1">
      <c r="A136" s="9"/>
      <c r="B136" s="92"/>
      <c r="C136" s="92"/>
      <c r="D136" s="93"/>
      <c r="E136" s="94"/>
      <c r="F136" s="95"/>
      <c r="G136" s="96"/>
      <c r="H136" s="8"/>
    </row>
    <row r="137" ht="15.75" customHeight="1">
      <c r="A137" s="9"/>
      <c r="B137" s="92"/>
      <c r="C137" s="92"/>
      <c r="D137" s="93"/>
      <c r="E137" s="94"/>
      <c r="F137" s="95"/>
      <c r="G137" s="96"/>
      <c r="H137" s="8"/>
    </row>
    <row r="138" ht="15.75" customHeight="1">
      <c r="A138" s="9"/>
      <c r="B138" s="92"/>
      <c r="C138" s="92"/>
      <c r="D138" s="93"/>
      <c r="E138" s="94"/>
      <c r="F138" s="95"/>
      <c r="G138" s="96"/>
      <c r="H138" s="8"/>
    </row>
    <row r="139" ht="15.75" customHeight="1">
      <c r="A139" s="9"/>
      <c r="B139" s="92"/>
      <c r="C139" s="92"/>
      <c r="D139" s="93"/>
      <c r="E139" s="94"/>
      <c r="F139" s="95"/>
      <c r="G139" s="96"/>
      <c r="H139" s="8"/>
    </row>
    <row r="140" ht="15.75" customHeight="1">
      <c r="A140" s="9"/>
      <c r="B140" s="92"/>
      <c r="C140" s="92"/>
      <c r="D140" s="93"/>
      <c r="E140" s="94"/>
      <c r="F140" s="95"/>
      <c r="G140" s="96"/>
      <c r="H140" s="8"/>
    </row>
    <row r="141" ht="15.75" customHeight="1">
      <c r="A141" s="9"/>
      <c r="B141" s="92"/>
      <c r="C141" s="92"/>
      <c r="D141" s="93"/>
      <c r="E141" s="94"/>
      <c r="F141" s="95"/>
      <c r="G141" s="96"/>
      <c r="H141" s="8"/>
    </row>
    <row r="142" ht="15.75" customHeight="1">
      <c r="A142" s="9"/>
      <c r="B142" s="92"/>
      <c r="C142" s="92"/>
      <c r="D142" s="93"/>
      <c r="E142" s="94"/>
      <c r="F142" s="95"/>
      <c r="G142" s="96"/>
      <c r="H142" s="8"/>
    </row>
    <row r="143" ht="15.75" customHeight="1">
      <c r="A143" s="9"/>
      <c r="B143" s="92"/>
      <c r="C143" s="92"/>
      <c r="D143" s="93"/>
      <c r="E143" s="94"/>
      <c r="F143" s="95"/>
      <c r="G143" s="96"/>
      <c r="H143" s="8"/>
    </row>
    <row r="144" ht="15.75" customHeight="1">
      <c r="A144" s="9"/>
      <c r="B144" s="92"/>
      <c r="C144" s="92"/>
      <c r="D144" s="93"/>
      <c r="E144" s="94"/>
      <c r="F144" s="95"/>
      <c r="G144" s="96"/>
      <c r="H144" s="8"/>
    </row>
    <row r="145" ht="15.75" customHeight="1">
      <c r="A145" s="9"/>
      <c r="B145" s="92"/>
      <c r="C145" s="92"/>
      <c r="D145" s="93"/>
      <c r="E145" s="94"/>
      <c r="F145" s="95"/>
      <c r="G145" s="96"/>
      <c r="H145" s="8"/>
    </row>
    <row r="146" ht="15.75" customHeight="1">
      <c r="A146" s="9"/>
      <c r="B146" s="92"/>
      <c r="C146" s="92"/>
      <c r="D146" s="93"/>
      <c r="E146" s="94"/>
      <c r="F146" s="95"/>
      <c r="G146" s="96"/>
      <c r="H146" s="8"/>
    </row>
    <row r="147" ht="15.75" customHeight="1">
      <c r="A147" s="9"/>
      <c r="B147" s="92"/>
      <c r="C147" s="92"/>
      <c r="D147" s="93"/>
      <c r="E147" s="94"/>
      <c r="F147" s="95"/>
      <c r="G147" s="96"/>
      <c r="H147" s="8"/>
    </row>
    <row r="148" ht="15.75" customHeight="1">
      <c r="A148" s="9"/>
      <c r="B148" s="92"/>
      <c r="C148" s="92"/>
      <c r="D148" s="93"/>
      <c r="E148" s="94"/>
      <c r="F148" s="95"/>
      <c r="G148" s="96"/>
      <c r="H148" s="8"/>
    </row>
    <row r="149" ht="15.75" customHeight="1">
      <c r="A149" s="9"/>
      <c r="B149" s="92"/>
      <c r="C149" s="92"/>
      <c r="D149" s="93"/>
      <c r="E149" s="94"/>
      <c r="F149" s="95"/>
      <c r="G149" s="96"/>
      <c r="H149" s="8"/>
    </row>
    <row r="150" ht="15.75" customHeight="1">
      <c r="A150" s="9"/>
      <c r="B150" s="92"/>
      <c r="C150" s="92"/>
      <c r="D150" s="93"/>
      <c r="E150" s="94"/>
      <c r="F150" s="95"/>
      <c r="G150" s="96"/>
      <c r="H150" s="8"/>
    </row>
    <row r="151" ht="15.75" customHeight="1">
      <c r="A151" s="9"/>
      <c r="B151" s="92"/>
      <c r="C151" s="92"/>
      <c r="D151" s="93"/>
      <c r="E151" s="94"/>
      <c r="F151" s="95"/>
      <c r="G151" s="96"/>
      <c r="H151" s="8"/>
    </row>
    <row r="152" ht="15.75" customHeight="1">
      <c r="A152" s="9"/>
      <c r="B152" s="92"/>
      <c r="C152" s="92"/>
      <c r="D152" s="93"/>
      <c r="E152" s="94"/>
      <c r="F152" s="95"/>
      <c r="G152" s="96"/>
      <c r="H152" s="8"/>
    </row>
    <row r="153" ht="15.75" customHeight="1">
      <c r="A153" s="9"/>
      <c r="B153" s="92"/>
      <c r="C153" s="92"/>
      <c r="D153" s="93"/>
      <c r="E153" s="94"/>
      <c r="F153" s="95"/>
      <c r="G153" s="96"/>
      <c r="H153" s="8"/>
    </row>
    <row r="154" ht="15.75" customHeight="1">
      <c r="A154" s="9"/>
      <c r="B154" s="92"/>
      <c r="C154" s="92"/>
      <c r="D154" s="93"/>
      <c r="E154" s="94"/>
      <c r="F154" s="95"/>
      <c r="G154" s="96"/>
      <c r="H154" s="8"/>
    </row>
    <row r="155" ht="15.75" customHeight="1">
      <c r="A155" s="9"/>
      <c r="B155" s="92"/>
      <c r="C155" s="92"/>
      <c r="D155" s="93"/>
      <c r="E155" s="94"/>
      <c r="F155" s="95"/>
      <c r="G155" s="96"/>
      <c r="H155" s="8"/>
    </row>
    <row r="156" ht="15.75" customHeight="1">
      <c r="A156" s="9"/>
      <c r="B156" s="92"/>
      <c r="C156" s="92"/>
      <c r="D156" s="93"/>
      <c r="E156" s="94"/>
      <c r="F156" s="95"/>
      <c r="G156" s="96"/>
      <c r="H156" s="8"/>
    </row>
    <row r="157" ht="15.75" customHeight="1">
      <c r="A157" s="9"/>
      <c r="B157" s="92"/>
      <c r="C157" s="92"/>
      <c r="D157" s="93"/>
      <c r="E157" s="94"/>
      <c r="F157" s="95"/>
      <c r="G157" s="96"/>
      <c r="H157" s="8"/>
    </row>
    <row r="158" ht="15.75" customHeight="1">
      <c r="A158" s="9"/>
      <c r="B158" s="92"/>
      <c r="C158" s="92"/>
      <c r="D158" s="93"/>
      <c r="E158" s="94"/>
      <c r="F158" s="95"/>
      <c r="G158" s="96"/>
      <c r="H158" s="8"/>
    </row>
    <row r="159" ht="15.75" customHeight="1">
      <c r="A159" s="9"/>
      <c r="B159" s="92"/>
      <c r="C159" s="92"/>
      <c r="D159" s="93"/>
      <c r="E159" s="94"/>
      <c r="F159" s="95"/>
      <c r="G159" s="96"/>
      <c r="H159" s="8"/>
    </row>
    <row r="160" ht="15.75" customHeight="1">
      <c r="A160" s="9"/>
      <c r="B160" s="92"/>
      <c r="C160" s="92"/>
      <c r="D160" s="93"/>
      <c r="E160" s="94"/>
      <c r="F160" s="95"/>
      <c r="G160" s="96"/>
      <c r="H160" s="8"/>
    </row>
    <row r="161" ht="15.75" customHeight="1">
      <c r="A161" s="9"/>
      <c r="B161" s="92"/>
      <c r="C161" s="92"/>
      <c r="D161" s="93"/>
      <c r="E161" s="94"/>
      <c r="F161" s="95"/>
      <c r="G161" s="96"/>
      <c r="H161" s="8"/>
    </row>
    <row r="162" ht="15.75" customHeight="1">
      <c r="A162" s="9"/>
      <c r="B162" s="92"/>
      <c r="C162" s="92"/>
      <c r="D162" s="93"/>
      <c r="E162" s="94"/>
      <c r="F162" s="95"/>
      <c r="G162" s="96"/>
      <c r="H162" s="8"/>
    </row>
    <row r="163" ht="15.75" customHeight="1">
      <c r="A163" s="9"/>
      <c r="B163" s="92"/>
      <c r="C163" s="92"/>
      <c r="D163" s="93"/>
      <c r="E163" s="94"/>
      <c r="F163" s="95"/>
      <c r="G163" s="96"/>
      <c r="H163" s="8"/>
    </row>
    <row r="164" ht="15.75" customHeight="1">
      <c r="A164" s="9"/>
      <c r="B164" s="92"/>
      <c r="C164" s="92"/>
      <c r="D164" s="93"/>
      <c r="E164" s="94"/>
      <c r="F164" s="95"/>
      <c r="G164" s="96"/>
      <c r="H164" s="8"/>
    </row>
    <row r="165" ht="15.75" customHeight="1">
      <c r="A165" s="9"/>
      <c r="B165" s="92"/>
      <c r="C165" s="92"/>
      <c r="D165" s="93"/>
      <c r="E165" s="94"/>
      <c r="F165" s="95"/>
      <c r="G165" s="96"/>
      <c r="H165" s="8"/>
    </row>
    <row r="166" ht="15.75" customHeight="1">
      <c r="A166" s="9"/>
      <c r="B166" s="92"/>
      <c r="C166" s="92"/>
      <c r="D166" s="93"/>
      <c r="E166" s="94"/>
      <c r="F166" s="95"/>
      <c r="G166" s="96"/>
      <c r="H166" s="8"/>
    </row>
    <row r="167" ht="15.75" customHeight="1">
      <c r="A167" s="9"/>
      <c r="B167" s="92"/>
      <c r="C167" s="92"/>
      <c r="D167" s="93"/>
      <c r="E167" s="94"/>
      <c r="F167" s="95"/>
      <c r="G167" s="96"/>
      <c r="H167" s="8"/>
    </row>
    <row r="168" ht="15.75" customHeight="1">
      <c r="A168" s="9"/>
      <c r="B168" s="92"/>
      <c r="C168" s="92"/>
      <c r="D168" s="93"/>
      <c r="E168" s="94"/>
      <c r="F168" s="95"/>
      <c r="G168" s="96"/>
      <c r="H168" s="8"/>
    </row>
    <row r="169" ht="15.75" customHeight="1">
      <c r="A169" s="9"/>
      <c r="B169" s="92"/>
      <c r="C169" s="92"/>
      <c r="D169" s="93"/>
      <c r="E169" s="94"/>
      <c r="F169" s="95"/>
      <c r="G169" s="96"/>
      <c r="H169" s="8"/>
    </row>
    <row r="170" ht="15.75" customHeight="1">
      <c r="A170" s="9"/>
      <c r="B170" s="92"/>
      <c r="C170" s="92"/>
      <c r="D170" s="93"/>
      <c r="E170" s="94"/>
      <c r="F170" s="95"/>
      <c r="G170" s="96"/>
      <c r="H170" s="8"/>
    </row>
    <row r="171" ht="15.75" customHeight="1">
      <c r="A171" s="9"/>
      <c r="B171" s="92"/>
      <c r="C171" s="92"/>
      <c r="D171" s="93"/>
      <c r="E171" s="94"/>
      <c r="F171" s="95"/>
      <c r="G171" s="96"/>
      <c r="H171" s="8"/>
    </row>
    <row r="172" ht="15.75" customHeight="1">
      <c r="A172" s="9"/>
      <c r="B172" s="92"/>
      <c r="C172" s="92"/>
      <c r="D172" s="93"/>
      <c r="E172" s="94"/>
      <c r="F172" s="95"/>
      <c r="G172" s="96"/>
      <c r="H172" s="8"/>
    </row>
    <row r="173" ht="15.75" customHeight="1">
      <c r="A173" s="9"/>
      <c r="B173" s="92"/>
      <c r="C173" s="92"/>
      <c r="D173" s="93"/>
      <c r="E173" s="94"/>
      <c r="F173" s="95"/>
      <c r="G173" s="96"/>
      <c r="H173" s="8"/>
    </row>
    <row r="174" ht="15.75" customHeight="1">
      <c r="A174" s="9"/>
      <c r="B174" s="92"/>
      <c r="C174" s="92"/>
      <c r="D174" s="93"/>
      <c r="E174" s="94"/>
      <c r="F174" s="95"/>
      <c r="G174" s="96"/>
      <c r="H174" s="8"/>
    </row>
    <row r="175" ht="15.75" customHeight="1">
      <c r="A175" s="9"/>
      <c r="B175" s="92"/>
      <c r="C175" s="92"/>
      <c r="D175" s="93"/>
      <c r="E175" s="94"/>
      <c r="F175" s="95"/>
      <c r="G175" s="96"/>
      <c r="H175" s="8"/>
    </row>
    <row r="176" ht="15.75" customHeight="1">
      <c r="A176" s="9"/>
      <c r="B176" s="92"/>
      <c r="C176" s="92"/>
      <c r="D176" s="93"/>
      <c r="E176" s="94"/>
      <c r="F176" s="95"/>
      <c r="G176" s="96"/>
      <c r="H176" s="8"/>
    </row>
    <row r="177" ht="15.75" customHeight="1">
      <c r="A177" s="9"/>
      <c r="B177" s="92"/>
      <c r="C177" s="92"/>
      <c r="D177" s="93"/>
      <c r="E177" s="94"/>
      <c r="F177" s="95"/>
      <c r="G177" s="96"/>
      <c r="H177" s="8"/>
    </row>
    <row r="178" ht="15.75" customHeight="1">
      <c r="A178" s="9"/>
      <c r="B178" s="92"/>
      <c r="C178" s="92"/>
      <c r="D178" s="93"/>
      <c r="E178" s="94"/>
      <c r="F178" s="95"/>
      <c r="G178" s="96"/>
      <c r="H178" s="8"/>
    </row>
    <row r="179" ht="15.75" customHeight="1">
      <c r="A179" s="9"/>
      <c r="B179" s="92"/>
      <c r="C179" s="92"/>
      <c r="D179" s="93"/>
      <c r="E179" s="94"/>
      <c r="F179" s="95"/>
      <c r="G179" s="96"/>
      <c r="H179" s="8"/>
    </row>
    <row r="180" ht="15.75" customHeight="1">
      <c r="A180" s="9"/>
      <c r="B180" s="92"/>
      <c r="C180" s="92"/>
      <c r="D180" s="93"/>
      <c r="E180" s="94"/>
      <c r="F180" s="95"/>
      <c r="G180" s="96"/>
      <c r="H180" s="8"/>
    </row>
    <row r="181" ht="15.75" customHeight="1">
      <c r="A181" s="9"/>
      <c r="B181" s="92"/>
      <c r="C181" s="92"/>
      <c r="D181" s="93"/>
      <c r="E181" s="94"/>
      <c r="F181" s="95"/>
      <c r="G181" s="96"/>
      <c r="H181" s="8"/>
    </row>
    <row r="182" ht="15.75" customHeight="1">
      <c r="A182" s="9"/>
      <c r="B182" s="92"/>
      <c r="C182" s="92"/>
      <c r="D182" s="93"/>
      <c r="E182" s="94"/>
      <c r="F182" s="95"/>
      <c r="G182" s="96"/>
      <c r="H182" s="8"/>
    </row>
    <row r="183" ht="15.75" customHeight="1">
      <c r="A183" s="9"/>
      <c r="B183" s="92"/>
      <c r="C183" s="92"/>
      <c r="D183" s="93"/>
      <c r="E183" s="94"/>
      <c r="F183" s="95"/>
      <c r="G183" s="96"/>
      <c r="H183" s="8"/>
    </row>
    <row r="184" ht="15.75" customHeight="1">
      <c r="A184" s="9"/>
      <c r="B184" s="92"/>
      <c r="C184" s="92"/>
      <c r="D184" s="93"/>
      <c r="E184" s="94"/>
      <c r="F184" s="95"/>
      <c r="G184" s="96"/>
      <c r="H184" s="8"/>
    </row>
    <row r="185" ht="15.75" customHeight="1">
      <c r="A185" s="9"/>
      <c r="B185" s="92"/>
      <c r="C185" s="92"/>
      <c r="D185" s="93"/>
      <c r="E185" s="94"/>
      <c r="F185" s="95"/>
      <c r="G185" s="96"/>
      <c r="H185" s="8"/>
    </row>
    <row r="186" ht="15.75" customHeight="1">
      <c r="A186" s="9"/>
      <c r="B186" s="92"/>
      <c r="C186" s="92"/>
      <c r="D186" s="93"/>
      <c r="E186" s="94"/>
      <c r="F186" s="95"/>
      <c r="G186" s="96"/>
      <c r="H186" s="8"/>
    </row>
    <row r="187" ht="15.75" customHeight="1">
      <c r="A187" s="9"/>
      <c r="B187" s="92"/>
      <c r="C187" s="92"/>
      <c r="D187" s="93"/>
      <c r="E187" s="94"/>
      <c r="F187" s="95"/>
      <c r="G187" s="96"/>
      <c r="H187" s="8"/>
    </row>
    <row r="188" ht="15.75" customHeight="1">
      <c r="A188" s="9"/>
      <c r="B188" s="92"/>
      <c r="C188" s="92"/>
      <c r="D188" s="93"/>
      <c r="E188" s="94"/>
      <c r="F188" s="95"/>
      <c r="G188" s="96"/>
      <c r="H188" s="8"/>
    </row>
    <row r="189" ht="15.75" customHeight="1">
      <c r="A189" s="9"/>
      <c r="B189" s="92"/>
      <c r="C189" s="92"/>
      <c r="D189" s="93"/>
      <c r="E189" s="94"/>
      <c r="F189" s="95"/>
      <c r="G189" s="96"/>
      <c r="H189" s="8"/>
    </row>
    <row r="190" ht="15.75" customHeight="1">
      <c r="A190" s="9"/>
      <c r="B190" s="92"/>
      <c r="C190" s="92"/>
      <c r="D190" s="93"/>
      <c r="E190" s="94"/>
      <c r="F190" s="95"/>
      <c r="G190" s="96"/>
      <c r="H190" s="8"/>
    </row>
    <row r="191" ht="15.75" customHeight="1">
      <c r="A191" s="9"/>
      <c r="B191" s="92"/>
      <c r="C191" s="92"/>
      <c r="D191" s="93"/>
      <c r="E191" s="94"/>
      <c r="F191" s="95"/>
      <c r="G191" s="96"/>
      <c r="H191" s="8"/>
    </row>
    <row r="192" ht="15.75" customHeight="1">
      <c r="A192" s="9"/>
      <c r="B192" s="92"/>
      <c r="C192" s="92"/>
      <c r="D192" s="93"/>
      <c r="E192" s="94"/>
      <c r="F192" s="95"/>
      <c r="G192" s="96"/>
      <c r="H192" s="8"/>
    </row>
    <row r="193" ht="15.75" customHeight="1">
      <c r="A193" s="9"/>
      <c r="B193" s="92"/>
      <c r="C193" s="92"/>
      <c r="D193" s="93"/>
      <c r="E193" s="94"/>
      <c r="F193" s="95"/>
      <c r="G193" s="96"/>
      <c r="H193" s="8"/>
    </row>
    <row r="194" ht="15.75" customHeight="1">
      <c r="A194" s="9"/>
      <c r="B194" s="92"/>
      <c r="C194" s="92"/>
      <c r="D194" s="93"/>
      <c r="E194" s="94"/>
      <c r="F194" s="95"/>
      <c r="G194" s="96"/>
      <c r="H194" s="8"/>
    </row>
    <row r="195" ht="15.75" customHeight="1">
      <c r="A195" s="9"/>
      <c r="B195" s="92"/>
      <c r="C195" s="92"/>
      <c r="D195" s="93"/>
      <c r="E195" s="94"/>
      <c r="F195" s="95"/>
      <c r="G195" s="96"/>
      <c r="H195" s="8"/>
    </row>
    <row r="196" ht="15.75" customHeight="1">
      <c r="A196" s="9"/>
      <c r="B196" s="92"/>
      <c r="C196" s="92"/>
      <c r="D196" s="93"/>
      <c r="E196" s="94"/>
      <c r="F196" s="95"/>
      <c r="G196" s="96"/>
      <c r="H196" s="8"/>
    </row>
    <row r="197" ht="15.75" customHeight="1">
      <c r="A197" s="9"/>
      <c r="B197" s="92"/>
      <c r="C197" s="92"/>
      <c r="D197" s="93"/>
      <c r="E197" s="94"/>
      <c r="F197" s="95"/>
      <c r="G197" s="96"/>
      <c r="H197" s="8"/>
    </row>
    <row r="198" ht="15.75" customHeight="1">
      <c r="A198" s="9"/>
      <c r="B198" s="92"/>
      <c r="C198" s="92"/>
      <c r="D198" s="93"/>
      <c r="E198" s="94"/>
      <c r="F198" s="95"/>
      <c r="G198" s="96"/>
      <c r="H198" s="8"/>
    </row>
    <row r="199" ht="15.75" customHeight="1">
      <c r="A199" s="9"/>
      <c r="B199" s="92"/>
      <c r="C199" s="92"/>
      <c r="D199" s="93"/>
      <c r="E199" s="94"/>
      <c r="F199" s="95"/>
      <c r="G199" s="96"/>
      <c r="H199" s="8"/>
    </row>
    <row r="200" ht="15.75" customHeight="1">
      <c r="A200" s="9"/>
      <c r="B200" s="92"/>
      <c r="C200" s="92"/>
      <c r="D200" s="93"/>
      <c r="E200" s="94"/>
      <c r="F200" s="95"/>
      <c r="G200" s="96"/>
      <c r="H200" s="8"/>
    </row>
    <row r="201" ht="15.75" customHeight="1">
      <c r="A201" s="9"/>
      <c r="B201" s="92"/>
      <c r="C201" s="92"/>
      <c r="D201" s="93"/>
      <c r="E201" s="94"/>
      <c r="F201" s="95"/>
      <c r="G201" s="96"/>
      <c r="H201" s="8"/>
    </row>
    <row r="202" ht="15.75" customHeight="1">
      <c r="A202" s="9"/>
      <c r="B202" s="92"/>
      <c r="C202" s="92"/>
      <c r="D202" s="93"/>
      <c r="E202" s="94"/>
      <c r="F202" s="95"/>
      <c r="G202" s="96"/>
      <c r="H202" s="8"/>
    </row>
    <row r="203" ht="15.75" customHeight="1">
      <c r="A203" s="9"/>
      <c r="B203" s="92"/>
      <c r="C203" s="92"/>
      <c r="D203" s="93"/>
      <c r="E203" s="94"/>
      <c r="F203" s="95"/>
      <c r="G203" s="96"/>
      <c r="H203" s="8"/>
    </row>
    <row r="204" ht="15.75" customHeight="1">
      <c r="A204" s="9"/>
      <c r="B204" s="92"/>
      <c r="C204" s="92"/>
      <c r="D204" s="93"/>
      <c r="E204" s="94"/>
      <c r="F204" s="95"/>
      <c r="G204" s="96"/>
      <c r="H204" s="8"/>
    </row>
    <row r="205" ht="15.75" customHeight="1">
      <c r="A205" s="9"/>
      <c r="B205" s="92"/>
      <c r="C205" s="92"/>
      <c r="D205" s="93"/>
      <c r="E205" s="94"/>
      <c r="F205" s="95"/>
      <c r="G205" s="96"/>
      <c r="H205" s="8"/>
    </row>
    <row r="206" ht="15.75" customHeight="1">
      <c r="A206" s="9"/>
      <c r="B206" s="92"/>
      <c r="C206" s="92"/>
      <c r="D206" s="93"/>
      <c r="E206" s="94"/>
      <c r="F206" s="95"/>
      <c r="G206" s="96"/>
      <c r="H206" s="8"/>
    </row>
    <row r="207" ht="15.75" customHeight="1">
      <c r="A207" s="9"/>
      <c r="B207" s="92"/>
      <c r="C207" s="92"/>
      <c r="D207" s="93"/>
      <c r="E207" s="94"/>
      <c r="F207" s="95"/>
      <c r="G207" s="96"/>
      <c r="H207" s="8"/>
    </row>
    <row r="208" ht="15.75" customHeight="1">
      <c r="A208" s="9"/>
      <c r="B208" s="92"/>
      <c r="C208" s="92"/>
      <c r="D208" s="93"/>
      <c r="E208" s="94"/>
      <c r="F208" s="95"/>
      <c r="G208" s="96"/>
      <c r="H208" s="8"/>
    </row>
    <row r="209" ht="15.75" customHeight="1">
      <c r="A209" s="9"/>
      <c r="B209" s="92"/>
      <c r="C209" s="92"/>
      <c r="D209" s="93"/>
      <c r="E209" s="94"/>
      <c r="F209" s="95"/>
      <c r="G209" s="96"/>
      <c r="H209" s="8"/>
    </row>
    <row r="210" ht="15.75" customHeight="1">
      <c r="A210" s="9"/>
      <c r="B210" s="92"/>
      <c r="C210" s="92"/>
      <c r="D210" s="93"/>
      <c r="E210" s="94"/>
      <c r="F210" s="95"/>
      <c r="G210" s="96"/>
      <c r="H210" s="8"/>
    </row>
    <row r="211" ht="15.75" customHeight="1">
      <c r="A211" s="9"/>
      <c r="B211" s="92"/>
      <c r="C211" s="92"/>
      <c r="D211" s="93"/>
      <c r="E211" s="94"/>
      <c r="F211" s="95"/>
      <c r="G211" s="96"/>
      <c r="H211" s="8"/>
    </row>
    <row r="212" ht="15.75" customHeight="1">
      <c r="A212" s="9"/>
      <c r="B212" s="92"/>
      <c r="C212" s="92"/>
      <c r="D212" s="93"/>
      <c r="E212" s="94"/>
      <c r="F212" s="95"/>
      <c r="G212" s="96"/>
      <c r="H212" s="8"/>
    </row>
    <row r="213" ht="15.75" customHeight="1">
      <c r="A213" s="9"/>
      <c r="B213" s="92"/>
      <c r="C213" s="92"/>
      <c r="D213" s="93"/>
      <c r="E213" s="94"/>
      <c r="F213" s="95"/>
      <c r="G213" s="96"/>
      <c r="H213" s="8"/>
    </row>
    <row r="214" ht="15.75" customHeight="1">
      <c r="A214" s="9"/>
      <c r="B214" s="92"/>
      <c r="C214" s="92"/>
      <c r="D214" s="93"/>
      <c r="E214" s="94"/>
      <c r="F214" s="95"/>
      <c r="G214" s="96"/>
      <c r="H214" s="8"/>
    </row>
    <row r="215" ht="15.75" customHeight="1">
      <c r="A215" s="9"/>
      <c r="B215" s="92"/>
      <c r="C215" s="92"/>
      <c r="D215" s="93"/>
      <c r="E215" s="94"/>
      <c r="F215" s="95"/>
      <c r="G215" s="96"/>
      <c r="H215" s="8"/>
    </row>
    <row r="216" ht="15.75" customHeight="1">
      <c r="A216" s="9"/>
      <c r="B216" s="92"/>
      <c r="C216" s="92"/>
      <c r="D216" s="93"/>
      <c r="E216" s="94"/>
      <c r="F216" s="95"/>
      <c r="G216" s="96"/>
      <c r="H216" s="8"/>
    </row>
    <row r="217" ht="15.75" customHeight="1">
      <c r="A217" s="9"/>
      <c r="B217" s="92"/>
      <c r="C217" s="92"/>
      <c r="D217" s="93"/>
      <c r="E217" s="94"/>
      <c r="F217" s="95"/>
      <c r="G217" s="96"/>
      <c r="H217" s="8"/>
    </row>
    <row r="218" ht="15.75" customHeight="1">
      <c r="A218" s="9"/>
      <c r="B218" s="92"/>
      <c r="C218" s="92"/>
      <c r="D218" s="93"/>
      <c r="E218" s="94"/>
      <c r="F218" s="95"/>
      <c r="G218" s="96"/>
      <c r="H218" s="8"/>
    </row>
    <row r="219" ht="15.75" customHeight="1">
      <c r="A219" s="9"/>
      <c r="B219" s="92"/>
      <c r="C219" s="92"/>
      <c r="D219" s="93"/>
      <c r="E219" s="94"/>
      <c r="F219" s="95"/>
      <c r="G219" s="96"/>
      <c r="H219" s="8"/>
    </row>
    <row r="220" ht="15.75" customHeight="1">
      <c r="A220" s="9"/>
      <c r="B220" s="92"/>
      <c r="C220" s="92"/>
      <c r="D220" s="93"/>
      <c r="E220" s="94"/>
      <c r="F220" s="95"/>
      <c r="G220" s="96"/>
      <c r="H220" s="8"/>
    </row>
    <row r="221" ht="15.75" customHeight="1">
      <c r="A221" s="9"/>
      <c r="B221" s="92"/>
      <c r="C221" s="92"/>
      <c r="D221" s="93"/>
      <c r="E221" s="94"/>
      <c r="F221" s="95"/>
      <c r="G221" s="96"/>
      <c r="H221" s="8"/>
    </row>
    <row r="222" ht="15.75" customHeight="1">
      <c r="A222" s="9"/>
      <c r="B222" s="92"/>
      <c r="C222" s="92"/>
      <c r="D222" s="93"/>
      <c r="E222" s="94"/>
      <c r="F222" s="95"/>
      <c r="G222" s="96"/>
      <c r="H222" s="8"/>
    </row>
    <row r="223" ht="15.75" customHeight="1">
      <c r="A223" s="9"/>
      <c r="B223" s="92"/>
      <c r="C223" s="92"/>
      <c r="D223" s="93"/>
      <c r="E223" s="94"/>
      <c r="F223" s="95"/>
      <c r="G223" s="96"/>
      <c r="H223" s="8"/>
    </row>
    <row r="224" ht="15.75" customHeight="1">
      <c r="A224" s="9"/>
      <c r="B224" s="92"/>
      <c r="C224" s="92"/>
      <c r="D224" s="93"/>
      <c r="E224" s="94"/>
      <c r="F224" s="95"/>
      <c r="G224" s="96"/>
      <c r="H224" s="8"/>
    </row>
    <row r="225" ht="15.75" customHeight="1">
      <c r="A225" s="9"/>
      <c r="B225" s="92"/>
      <c r="C225" s="92"/>
      <c r="D225" s="93"/>
      <c r="E225" s="94"/>
      <c r="F225" s="95"/>
      <c r="G225" s="96"/>
      <c r="H225" s="8"/>
    </row>
    <row r="226" ht="15.75" customHeight="1">
      <c r="A226" s="9"/>
      <c r="B226" s="92"/>
      <c r="C226" s="92"/>
      <c r="D226" s="93"/>
      <c r="E226" s="94"/>
      <c r="F226" s="95"/>
      <c r="G226" s="96"/>
      <c r="H226" s="8"/>
    </row>
    <row r="227" ht="15.75" customHeight="1">
      <c r="A227" s="9"/>
      <c r="B227" s="92"/>
      <c r="C227" s="92"/>
      <c r="D227" s="93"/>
      <c r="E227" s="94"/>
      <c r="F227" s="95"/>
      <c r="G227" s="96"/>
      <c r="H227" s="8"/>
    </row>
    <row r="228" ht="15.75" customHeight="1">
      <c r="A228" s="9"/>
      <c r="B228" s="92"/>
      <c r="C228" s="92"/>
      <c r="D228" s="93"/>
      <c r="E228" s="94"/>
      <c r="F228" s="95"/>
      <c r="G228" s="96"/>
      <c r="H228" s="8"/>
    </row>
    <row r="229" ht="15.75" customHeight="1">
      <c r="A229" s="9"/>
      <c r="B229" s="92"/>
      <c r="C229" s="92"/>
      <c r="D229" s="93"/>
      <c r="E229" s="94"/>
      <c r="F229" s="95"/>
      <c r="G229" s="96"/>
      <c r="H229" s="8"/>
    </row>
    <row r="230" ht="15.75" customHeight="1">
      <c r="A230" s="9"/>
      <c r="B230" s="92"/>
      <c r="C230" s="92"/>
      <c r="D230" s="93"/>
      <c r="E230" s="94"/>
      <c r="F230" s="95"/>
      <c r="G230" s="96"/>
      <c r="H230" s="8"/>
    </row>
    <row r="231" ht="15.75" customHeight="1">
      <c r="A231" s="9"/>
      <c r="B231" s="92"/>
      <c r="C231" s="92"/>
      <c r="D231" s="93"/>
      <c r="E231" s="94"/>
      <c r="F231" s="95"/>
      <c r="G231" s="96"/>
      <c r="H231" s="8"/>
    </row>
    <row r="232" ht="15.75" customHeight="1">
      <c r="A232" s="9"/>
      <c r="B232" s="92"/>
      <c r="C232" s="92"/>
      <c r="D232" s="93"/>
      <c r="E232" s="94"/>
      <c r="F232" s="95"/>
      <c r="G232" s="96"/>
      <c r="H232" s="8"/>
    </row>
    <row r="233" ht="15.75" customHeight="1">
      <c r="A233" s="9"/>
      <c r="B233" s="92"/>
      <c r="C233" s="92"/>
      <c r="D233" s="93"/>
      <c r="E233" s="94"/>
      <c r="F233" s="95"/>
      <c r="G233" s="96"/>
      <c r="H233" s="8"/>
    </row>
    <row r="234" ht="15.75" customHeight="1">
      <c r="A234" s="9"/>
      <c r="B234" s="92"/>
      <c r="C234" s="92"/>
      <c r="D234" s="93"/>
      <c r="E234" s="94"/>
      <c r="F234" s="95"/>
      <c r="G234" s="96"/>
      <c r="H234" s="8"/>
    </row>
    <row r="235" ht="15.75" customHeight="1">
      <c r="A235" s="9"/>
      <c r="B235" s="92"/>
      <c r="C235" s="92"/>
      <c r="D235" s="93"/>
      <c r="E235" s="94"/>
      <c r="F235" s="95"/>
      <c r="G235" s="96"/>
      <c r="H235" s="8"/>
    </row>
    <row r="236" ht="15.75" customHeight="1">
      <c r="A236" s="9"/>
      <c r="B236" s="92"/>
      <c r="C236" s="92"/>
      <c r="D236" s="93"/>
      <c r="E236" s="94"/>
      <c r="F236" s="95"/>
      <c r="G236" s="96"/>
      <c r="H236" s="8"/>
    </row>
    <row r="237" ht="15.75" customHeight="1">
      <c r="A237" s="9"/>
      <c r="B237" s="92"/>
      <c r="C237" s="92"/>
      <c r="D237" s="93"/>
      <c r="E237" s="94"/>
      <c r="F237" s="95"/>
      <c r="G237" s="96"/>
      <c r="H237" s="8"/>
    </row>
    <row r="238" ht="15.75" customHeight="1">
      <c r="A238" s="9"/>
      <c r="B238" s="92"/>
      <c r="C238" s="92"/>
      <c r="D238" s="93"/>
      <c r="E238" s="94"/>
      <c r="F238" s="95"/>
      <c r="G238" s="96"/>
      <c r="H238" s="8"/>
    </row>
    <row r="239" ht="15.75" customHeight="1">
      <c r="A239" s="9"/>
      <c r="B239" s="92"/>
      <c r="C239" s="92"/>
      <c r="D239" s="93"/>
      <c r="E239" s="94"/>
      <c r="F239" s="95"/>
      <c r="G239" s="96"/>
      <c r="H239" s="8"/>
    </row>
    <row r="240" ht="15.75" customHeight="1">
      <c r="A240" s="9"/>
      <c r="B240" s="92"/>
      <c r="C240" s="92"/>
      <c r="D240" s="93"/>
      <c r="E240" s="94"/>
      <c r="F240" s="95"/>
      <c r="G240" s="96"/>
      <c r="H240" s="8"/>
    </row>
    <row r="241" ht="15.75" customHeight="1">
      <c r="A241" s="9"/>
      <c r="B241" s="92"/>
      <c r="C241" s="92"/>
      <c r="D241" s="93"/>
      <c r="E241" s="94"/>
      <c r="F241" s="95"/>
      <c r="G241" s="96"/>
      <c r="H241" s="8"/>
    </row>
    <row r="242" ht="15.75" customHeight="1">
      <c r="A242" s="9"/>
      <c r="B242" s="92"/>
      <c r="C242" s="92"/>
      <c r="D242" s="93"/>
      <c r="E242" s="94"/>
      <c r="F242" s="95"/>
      <c r="G242" s="96"/>
      <c r="H242" s="8"/>
    </row>
    <row r="243" ht="15.75" customHeight="1">
      <c r="A243" s="9"/>
      <c r="B243" s="92"/>
      <c r="C243" s="92"/>
      <c r="D243" s="93"/>
      <c r="E243" s="94"/>
      <c r="F243" s="95"/>
      <c r="G243" s="96"/>
      <c r="H243" s="8"/>
    </row>
    <row r="244" ht="15.75" customHeight="1">
      <c r="A244" s="9"/>
      <c r="B244" s="92"/>
      <c r="C244" s="92"/>
      <c r="D244" s="93"/>
      <c r="E244" s="94"/>
      <c r="F244" s="95"/>
      <c r="G244" s="96"/>
      <c r="H244" s="8"/>
    </row>
    <row r="245" ht="15.75" customHeight="1">
      <c r="A245" s="9"/>
      <c r="B245" s="92"/>
      <c r="C245" s="92"/>
      <c r="D245" s="93"/>
      <c r="E245" s="94"/>
      <c r="F245" s="95"/>
      <c r="G245" s="96"/>
      <c r="H245" s="8"/>
    </row>
    <row r="246" ht="15.75" customHeight="1">
      <c r="A246" s="9"/>
      <c r="B246" s="92"/>
      <c r="C246" s="92"/>
      <c r="D246" s="93"/>
      <c r="E246" s="94"/>
      <c r="F246" s="95"/>
      <c r="G246" s="96"/>
      <c r="H246" s="8"/>
    </row>
    <row r="247" ht="15.75" customHeight="1">
      <c r="A247" s="9"/>
      <c r="B247" s="92"/>
      <c r="C247" s="92"/>
      <c r="D247" s="93"/>
      <c r="E247" s="94"/>
      <c r="F247" s="95"/>
      <c r="G247" s="96"/>
      <c r="H247" s="8"/>
    </row>
    <row r="248" ht="15.75" customHeight="1">
      <c r="A248" s="9"/>
      <c r="B248" s="92"/>
      <c r="C248" s="92"/>
      <c r="D248" s="93"/>
      <c r="E248" s="94"/>
      <c r="F248" s="95"/>
      <c r="G248" s="96"/>
      <c r="H248" s="8"/>
    </row>
    <row r="249" ht="15.75" customHeight="1">
      <c r="A249" s="9"/>
      <c r="B249" s="92"/>
      <c r="C249" s="92"/>
      <c r="D249" s="93"/>
      <c r="E249" s="94"/>
      <c r="F249" s="95"/>
      <c r="G249" s="96"/>
      <c r="H249" s="8"/>
    </row>
    <row r="250" ht="15.75" customHeight="1">
      <c r="A250" s="9"/>
      <c r="B250" s="92"/>
      <c r="C250" s="92"/>
      <c r="D250" s="93"/>
      <c r="E250" s="94"/>
      <c r="F250" s="95"/>
      <c r="G250" s="96"/>
      <c r="H250" s="8"/>
    </row>
    <row r="251" ht="15.75" customHeight="1">
      <c r="A251" s="9"/>
      <c r="B251" s="92"/>
      <c r="C251" s="92"/>
      <c r="D251" s="93"/>
      <c r="E251" s="94"/>
      <c r="F251" s="95"/>
      <c r="G251" s="96"/>
      <c r="H251" s="8"/>
    </row>
    <row r="252" ht="15.75" customHeight="1">
      <c r="A252" s="9"/>
      <c r="B252" s="92"/>
      <c r="C252" s="92"/>
      <c r="D252" s="93"/>
      <c r="E252" s="94"/>
      <c r="F252" s="95"/>
      <c r="G252" s="96"/>
      <c r="H252" s="8"/>
    </row>
    <row r="253" ht="15.75" customHeight="1">
      <c r="A253" s="9"/>
      <c r="B253" s="92"/>
      <c r="C253" s="92"/>
      <c r="D253" s="93"/>
      <c r="E253" s="94"/>
      <c r="F253" s="95"/>
      <c r="G253" s="96"/>
      <c r="H253" s="8"/>
    </row>
    <row r="254" ht="15.75" customHeight="1">
      <c r="A254" s="9"/>
      <c r="B254" s="92"/>
      <c r="C254" s="92"/>
      <c r="D254" s="93"/>
      <c r="E254" s="94"/>
      <c r="F254" s="95"/>
      <c r="G254" s="96"/>
      <c r="H254" s="8"/>
    </row>
    <row r="255" ht="15.75" customHeight="1">
      <c r="A255" s="9"/>
      <c r="B255" s="92"/>
      <c r="C255" s="92"/>
      <c r="D255" s="93"/>
      <c r="E255" s="94"/>
      <c r="F255" s="95"/>
      <c r="G255" s="96"/>
      <c r="H255" s="8"/>
    </row>
    <row r="256" ht="15.75" customHeight="1">
      <c r="A256" s="9"/>
      <c r="B256" s="92"/>
      <c r="C256" s="92"/>
      <c r="D256" s="93"/>
      <c r="E256" s="94"/>
      <c r="F256" s="95"/>
      <c r="G256" s="96"/>
      <c r="H256" s="8"/>
    </row>
    <row r="257" ht="15.75" customHeight="1">
      <c r="A257" s="9"/>
      <c r="B257" s="92"/>
      <c r="C257" s="92"/>
      <c r="D257" s="93"/>
      <c r="E257" s="94"/>
      <c r="F257" s="95"/>
      <c r="G257" s="96"/>
      <c r="H257" s="8"/>
    </row>
    <row r="258" ht="15.75" customHeight="1">
      <c r="A258" s="9"/>
      <c r="B258" s="92"/>
      <c r="C258" s="92"/>
      <c r="D258" s="93"/>
      <c r="E258" s="94"/>
      <c r="F258" s="95"/>
      <c r="G258" s="96"/>
      <c r="H258" s="8"/>
    </row>
    <row r="259" ht="15.75" customHeight="1">
      <c r="A259" s="9"/>
      <c r="B259" s="92"/>
      <c r="C259" s="92"/>
      <c r="D259" s="93"/>
      <c r="E259" s="94"/>
      <c r="F259" s="95"/>
      <c r="G259" s="96"/>
      <c r="H259" s="8"/>
    </row>
    <row r="260" ht="15.75" customHeight="1">
      <c r="A260" s="9"/>
      <c r="B260" s="92"/>
      <c r="C260" s="92"/>
      <c r="D260" s="93"/>
      <c r="E260" s="94"/>
      <c r="F260" s="95"/>
      <c r="G260" s="96"/>
      <c r="H260" s="8"/>
    </row>
    <row r="261" ht="15.75" customHeight="1">
      <c r="A261" s="9"/>
      <c r="B261" s="92"/>
      <c r="C261" s="92"/>
      <c r="D261" s="93"/>
      <c r="E261" s="94"/>
      <c r="F261" s="95"/>
      <c r="G261" s="96"/>
      <c r="H261" s="8"/>
    </row>
    <row r="262" ht="15.75" customHeight="1">
      <c r="A262" s="9"/>
      <c r="B262" s="92"/>
      <c r="C262" s="92"/>
      <c r="D262" s="93"/>
      <c r="E262" s="94"/>
      <c r="F262" s="95"/>
      <c r="G262" s="96"/>
      <c r="H262" s="8"/>
    </row>
    <row r="263" ht="15.75" customHeight="1">
      <c r="A263" s="9"/>
      <c r="B263" s="92"/>
      <c r="C263" s="92"/>
      <c r="D263" s="93"/>
      <c r="E263" s="94"/>
      <c r="F263" s="95"/>
      <c r="G263" s="96"/>
      <c r="H263" s="8"/>
    </row>
    <row r="264" ht="15.75" customHeight="1">
      <c r="D264" s="102"/>
      <c r="E264" s="102"/>
      <c r="G264" s="103"/>
      <c r="H264" s="8"/>
    </row>
    <row r="265" ht="15.75" customHeight="1">
      <c r="D265" s="102"/>
      <c r="E265" s="102"/>
      <c r="G265" s="103"/>
      <c r="H265" s="8"/>
    </row>
    <row r="266" ht="15.75" customHeight="1">
      <c r="D266" s="102"/>
      <c r="E266" s="102"/>
      <c r="G266" s="103"/>
      <c r="H266" s="8"/>
    </row>
    <row r="267" ht="15.75" customHeight="1">
      <c r="D267" s="102"/>
      <c r="E267" s="102"/>
      <c r="G267" s="103"/>
      <c r="H267" s="8"/>
    </row>
    <row r="268" ht="15.75" customHeight="1">
      <c r="D268" s="102"/>
      <c r="E268" s="102"/>
      <c r="G268" s="103"/>
      <c r="H268" s="8"/>
    </row>
    <row r="269" ht="15.75" customHeight="1">
      <c r="D269" s="102"/>
      <c r="E269" s="102"/>
      <c r="G269" s="103"/>
      <c r="H269" s="8"/>
    </row>
    <row r="270" ht="15.75" customHeight="1">
      <c r="D270" s="102"/>
      <c r="E270" s="102"/>
      <c r="G270" s="103"/>
      <c r="H270" s="8"/>
    </row>
    <row r="271" ht="15.75" customHeight="1">
      <c r="D271" s="102"/>
      <c r="E271" s="102"/>
      <c r="G271" s="103"/>
      <c r="H271" s="8"/>
    </row>
    <row r="272" ht="15.75" customHeight="1">
      <c r="D272" s="102"/>
      <c r="E272" s="102"/>
      <c r="G272" s="103"/>
      <c r="H272" s="8"/>
    </row>
    <row r="273" ht="15.75" customHeight="1">
      <c r="D273" s="102"/>
      <c r="E273" s="102"/>
      <c r="G273" s="103"/>
      <c r="H273" s="8"/>
    </row>
    <row r="274" ht="15.75" customHeight="1">
      <c r="D274" s="102"/>
      <c r="E274" s="102"/>
      <c r="G274" s="103"/>
      <c r="H274" s="8"/>
    </row>
    <row r="275" ht="15.75" customHeight="1">
      <c r="D275" s="102"/>
      <c r="E275" s="102"/>
      <c r="G275" s="103"/>
      <c r="H275" s="8"/>
    </row>
    <row r="276" ht="15.75" customHeight="1">
      <c r="D276" s="102"/>
      <c r="E276" s="102"/>
      <c r="G276" s="103"/>
      <c r="H276" s="8"/>
    </row>
    <row r="277" ht="15.75" customHeight="1">
      <c r="D277" s="102"/>
      <c r="E277" s="102"/>
      <c r="G277" s="103"/>
      <c r="H277" s="8"/>
    </row>
    <row r="278" ht="15.75" customHeight="1">
      <c r="D278" s="102"/>
      <c r="E278" s="102"/>
      <c r="G278" s="103"/>
      <c r="H278" s="8"/>
    </row>
    <row r="279" ht="15.75" customHeight="1">
      <c r="D279" s="102"/>
      <c r="E279" s="102"/>
      <c r="G279" s="103"/>
      <c r="H279" s="8"/>
    </row>
    <row r="280" ht="15.75" customHeight="1">
      <c r="D280" s="102"/>
      <c r="E280" s="102"/>
      <c r="G280" s="103"/>
      <c r="H280" s="8"/>
    </row>
    <row r="281" ht="15.75" customHeight="1">
      <c r="D281" s="102"/>
      <c r="E281" s="102"/>
      <c r="G281" s="103"/>
      <c r="H281" s="8"/>
    </row>
    <row r="282" ht="15.75" customHeight="1">
      <c r="D282" s="102"/>
      <c r="E282" s="102"/>
      <c r="G282" s="103"/>
      <c r="H282" s="8"/>
    </row>
    <row r="283" ht="15.75" customHeight="1">
      <c r="D283" s="102"/>
      <c r="E283" s="102"/>
      <c r="G283" s="103"/>
      <c r="H283" s="8"/>
    </row>
    <row r="284" ht="15.75" customHeight="1">
      <c r="D284" s="102"/>
      <c r="E284" s="102"/>
      <c r="G284" s="103"/>
      <c r="H284" s="8"/>
    </row>
    <row r="285" ht="15.75" customHeight="1">
      <c r="D285" s="102"/>
      <c r="E285" s="102"/>
      <c r="G285" s="103"/>
      <c r="H285" s="8"/>
    </row>
    <row r="286" ht="15.75" customHeight="1">
      <c r="D286" s="102"/>
      <c r="E286" s="102"/>
      <c r="G286" s="103"/>
      <c r="H286" s="8"/>
    </row>
    <row r="287" ht="15.75" customHeight="1">
      <c r="D287" s="102"/>
      <c r="E287" s="102"/>
      <c r="G287" s="103"/>
      <c r="H287" s="8"/>
    </row>
    <row r="288" ht="15.75" customHeight="1">
      <c r="D288" s="102"/>
      <c r="E288" s="102"/>
      <c r="G288" s="103"/>
      <c r="H288" s="8"/>
    </row>
    <row r="289" ht="15.75" customHeight="1">
      <c r="D289" s="102"/>
      <c r="E289" s="102"/>
      <c r="G289" s="103"/>
      <c r="H289" s="8"/>
    </row>
    <row r="290" ht="15.75" customHeight="1">
      <c r="D290" s="102"/>
      <c r="E290" s="102"/>
      <c r="G290" s="103"/>
      <c r="H290" s="8"/>
    </row>
    <row r="291" ht="15.75" customHeight="1">
      <c r="D291" s="102"/>
      <c r="E291" s="102"/>
      <c r="G291" s="103"/>
      <c r="H291" s="8"/>
    </row>
    <row r="292" ht="15.75" customHeight="1">
      <c r="D292" s="102"/>
      <c r="E292" s="102"/>
      <c r="G292" s="103"/>
      <c r="H292" s="8"/>
    </row>
    <row r="293" ht="15.75" customHeight="1">
      <c r="D293" s="102"/>
      <c r="E293" s="102"/>
      <c r="G293" s="103"/>
      <c r="H293" s="8"/>
    </row>
    <row r="294" ht="15.75" customHeight="1">
      <c r="D294" s="102"/>
      <c r="E294" s="102"/>
      <c r="G294" s="103"/>
      <c r="H294" s="8"/>
    </row>
    <row r="295" ht="15.75" customHeight="1">
      <c r="D295" s="102"/>
      <c r="E295" s="102"/>
      <c r="G295" s="103"/>
      <c r="H295" s="8"/>
    </row>
    <row r="296" ht="15.75" customHeight="1">
      <c r="D296" s="102"/>
      <c r="E296" s="102"/>
      <c r="G296" s="103"/>
      <c r="H296" s="8"/>
    </row>
    <row r="297" ht="15.75" customHeight="1">
      <c r="D297" s="102"/>
      <c r="E297" s="102"/>
      <c r="G297" s="103"/>
      <c r="H297" s="8"/>
    </row>
    <row r="298" ht="15.75" customHeight="1">
      <c r="D298" s="102"/>
      <c r="E298" s="102"/>
      <c r="G298" s="103"/>
      <c r="H298" s="8"/>
    </row>
    <row r="299" ht="15.75" customHeight="1">
      <c r="D299" s="102"/>
      <c r="E299" s="102"/>
      <c r="G299" s="103"/>
      <c r="H299" s="8"/>
    </row>
    <row r="300" ht="15.75" customHeight="1">
      <c r="D300" s="102"/>
      <c r="E300" s="102"/>
      <c r="G300" s="103"/>
      <c r="H300" s="8"/>
    </row>
    <row r="301" ht="15.75" customHeight="1">
      <c r="D301" s="102"/>
      <c r="E301" s="102"/>
      <c r="G301" s="103"/>
      <c r="H301" s="8"/>
    </row>
    <row r="302" ht="15.75" customHeight="1">
      <c r="D302" s="102"/>
      <c r="E302" s="102"/>
      <c r="G302" s="103"/>
      <c r="H302" s="8"/>
    </row>
    <row r="303" ht="15.75" customHeight="1">
      <c r="D303" s="102"/>
      <c r="E303" s="102"/>
      <c r="G303" s="103"/>
      <c r="H303" s="8"/>
    </row>
    <row r="304" ht="15.75" customHeight="1">
      <c r="D304" s="102"/>
      <c r="E304" s="102"/>
      <c r="G304" s="103"/>
      <c r="H304" s="8"/>
    </row>
    <row r="305" ht="15.75" customHeight="1">
      <c r="D305" s="102"/>
      <c r="E305" s="102"/>
      <c r="G305" s="103"/>
      <c r="H305" s="8"/>
    </row>
    <row r="306" ht="15.75" customHeight="1">
      <c r="D306" s="102"/>
      <c r="E306" s="102"/>
      <c r="G306" s="103"/>
      <c r="H306" s="8"/>
    </row>
    <row r="307" ht="15.75" customHeight="1">
      <c r="D307" s="102"/>
      <c r="E307" s="102"/>
      <c r="G307" s="103"/>
      <c r="H307" s="8"/>
    </row>
    <row r="308" ht="15.75" customHeight="1">
      <c r="D308" s="102"/>
      <c r="E308" s="102"/>
      <c r="G308" s="103"/>
      <c r="H308" s="8"/>
    </row>
    <row r="309" ht="15.75" customHeight="1">
      <c r="D309" s="102"/>
      <c r="E309" s="102"/>
      <c r="G309" s="103"/>
      <c r="H309" s="8"/>
    </row>
    <row r="310" ht="15.75" customHeight="1">
      <c r="D310" s="102"/>
      <c r="E310" s="102"/>
      <c r="G310" s="103"/>
      <c r="H310" s="8"/>
    </row>
    <row r="311" ht="15.75" customHeight="1">
      <c r="D311" s="102"/>
      <c r="E311" s="102"/>
      <c r="G311" s="103"/>
      <c r="H311" s="8"/>
    </row>
    <row r="312" ht="15.75" customHeight="1">
      <c r="D312" s="102"/>
      <c r="E312" s="102"/>
      <c r="G312" s="103"/>
      <c r="H312" s="8"/>
    </row>
    <row r="313" ht="15.75" customHeight="1">
      <c r="D313" s="102"/>
      <c r="E313" s="102"/>
      <c r="G313" s="103"/>
      <c r="H313" s="8"/>
    </row>
    <row r="314" ht="15.75" customHeight="1">
      <c r="D314" s="102"/>
      <c r="E314" s="102"/>
      <c r="G314" s="103"/>
      <c r="H314" s="8"/>
    </row>
    <row r="315" ht="15.75" customHeight="1">
      <c r="D315" s="102"/>
      <c r="E315" s="102"/>
      <c r="G315" s="103"/>
      <c r="H315" s="8"/>
    </row>
    <row r="316" ht="15.75" customHeight="1">
      <c r="D316" s="102"/>
      <c r="E316" s="102"/>
      <c r="G316" s="103"/>
      <c r="H316" s="8"/>
    </row>
    <row r="317" ht="15.75" customHeight="1">
      <c r="D317" s="102"/>
      <c r="E317" s="102"/>
      <c r="G317" s="103"/>
      <c r="H317" s="8"/>
    </row>
    <row r="318" ht="15.75" customHeight="1">
      <c r="D318" s="102"/>
      <c r="E318" s="102"/>
      <c r="G318" s="103"/>
      <c r="H318" s="8"/>
    </row>
    <row r="319" ht="15.75" customHeight="1">
      <c r="D319" s="102"/>
      <c r="E319" s="102"/>
      <c r="G319" s="103"/>
      <c r="H319" s="8"/>
    </row>
    <row r="320" ht="15.75" customHeight="1">
      <c r="D320" s="102"/>
      <c r="E320" s="102"/>
      <c r="G320" s="103"/>
      <c r="H320" s="8"/>
    </row>
    <row r="321" ht="15.75" customHeight="1">
      <c r="D321" s="102"/>
      <c r="E321" s="102"/>
      <c r="G321" s="103"/>
      <c r="H321" s="8"/>
    </row>
    <row r="322" ht="15.75" customHeight="1">
      <c r="D322" s="102"/>
      <c r="E322" s="102"/>
      <c r="G322" s="103"/>
      <c r="H322" s="8"/>
    </row>
    <row r="323" ht="15.75" customHeight="1">
      <c r="D323" s="102"/>
      <c r="E323" s="102"/>
      <c r="G323" s="103"/>
      <c r="H323" s="8"/>
    </row>
    <row r="324" ht="15.75" customHeight="1">
      <c r="D324" s="102"/>
      <c r="E324" s="102"/>
      <c r="G324" s="103"/>
      <c r="H324" s="8"/>
    </row>
    <row r="325" ht="15.75" customHeight="1">
      <c r="D325" s="102"/>
      <c r="E325" s="102"/>
      <c r="G325" s="103"/>
      <c r="H325" s="8"/>
    </row>
    <row r="326" ht="15.75" customHeight="1">
      <c r="D326" s="102"/>
      <c r="E326" s="102"/>
      <c r="G326" s="103"/>
      <c r="H326" s="8"/>
    </row>
    <row r="327" ht="15.75" customHeight="1">
      <c r="D327" s="102"/>
      <c r="E327" s="102"/>
      <c r="G327" s="103"/>
      <c r="H327" s="8"/>
    </row>
    <row r="328" ht="15.75" customHeight="1">
      <c r="D328" s="102"/>
      <c r="E328" s="102"/>
      <c r="G328" s="103"/>
      <c r="H328" s="8"/>
    </row>
    <row r="329" ht="15.75" customHeight="1">
      <c r="D329" s="102"/>
      <c r="E329" s="102"/>
      <c r="G329" s="103"/>
      <c r="H329" s="8"/>
    </row>
    <row r="330" ht="15.75" customHeight="1">
      <c r="D330" s="102"/>
      <c r="E330" s="102"/>
      <c r="G330" s="103"/>
      <c r="H330" s="8"/>
    </row>
    <row r="331" ht="15.75" customHeight="1">
      <c r="D331" s="102"/>
      <c r="E331" s="102"/>
      <c r="G331" s="103"/>
      <c r="H331" s="8"/>
    </row>
    <row r="332" ht="15.75" customHeight="1">
      <c r="D332" s="102"/>
      <c r="E332" s="102"/>
      <c r="G332" s="103"/>
      <c r="H332" s="8"/>
    </row>
    <row r="333" ht="15.75" customHeight="1">
      <c r="D333" s="102"/>
      <c r="E333" s="102"/>
      <c r="G333" s="103"/>
      <c r="H333" s="8"/>
    </row>
    <row r="334" ht="15.75" customHeight="1">
      <c r="D334" s="102"/>
      <c r="E334" s="102"/>
      <c r="G334" s="103"/>
      <c r="H334" s="8"/>
    </row>
    <row r="335" ht="15.75" customHeight="1">
      <c r="D335" s="102"/>
      <c r="E335" s="102"/>
      <c r="G335" s="103"/>
      <c r="H335" s="8"/>
    </row>
    <row r="336" ht="15.75" customHeight="1">
      <c r="D336" s="102"/>
      <c r="E336" s="102"/>
      <c r="G336" s="103"/>
      <c r="H336" s="8"/>
    </row>
    <row r="337" ht="15.75" customHeight="1">
      <c r="D337" s="102"/>
      <c r="E337" s="102"/>
      <c r="G337" s="103"/>
      <c r="H337" s="8"/>
    </row>
    <row r="338" ht="15.75" customHeight="1">
      <c r="D338" s="102"/>
      <c r="E338" s="102"/>
      <c r="G338" s="103"/>
      <c r="H338" s="8"/>
    </row>
    <row r="339" ht="15.75" customHeight="1">
      <c r="D339" s="102"/>
      <c r="E339" s="102"/>
      <c r="G339" s="103"/>
      <c r="H339" s="8"/>
    </row>
    <row r="340" ht="15.75" customHeight="1">
      <c r="D340" s="102"/>
      <c r="E340" s="102"/>
      <c r="G340" s="103"/>
      <c r="H340" s="8"/>
    </row>
    <row r="341" ht="15.75" customHeight="1">
      <c r="D341" s="102"/>
      <c r="E341" s="102"/>
      <c r="G341" s="103"/>
      <c r="H341" s="8"/>
    </row>
    <row r="342" ht="15.75" customHeight="1">
      <c r="D342" s="102"/>
      <c r="E342" s="102"/>
      <c r="G342" s="103"/>
      <c r="H342" s="8"/>
    </row>
    <row r="343" ht="15.75" customHeight="1">
      <c r="D343" s="102"/>
      <c r="E343" s="102"/>
      <c r="G343" s="103"/>
      <c r="H343" s="8"/>
    </row>
    <row r="344" ht="15.75" customHeight="1">
      <c r="D344" s="102"/>
      <c r="E344" s="102"/>
      <c r="G344" s="103"/>
      <c r="H344" s="8"/>
    </row>
    <row r="345" ht="15.75" customHeight="1">
      <c r="D345" s="102"/>
      <c r="E345" s="102"/>
      <c r="G345" s="103"/>
      <c r="H345" s="8"/>
    </row>
    <row r="346" ht="15.75" customHeight="1">
      <c r="D346" s="102"/>
      <c r="E346" s="102"/>
      <c r="G346" s="103"/>
      <c r="H346" s="8"/>
    </row>
    <row r="347" ht="15.75" customHeight="1">
      <c r="D347" s="102"/>
      <c r="E347" s="102"/>
      <c r="G347" s="103"/>
      <c r="H347" s="8"/>
    </row>
    <row r="348" ht="15.75" customHeight="1">
      <c r="D348" s="102"/>
      <c r="E348" s="102"/>
      <c r="G348" s="103"/>
      <c r="H348" s="8"/>
    </row>
    <row r="349" ht="15.75" customHeight="1">
      <c r="D349" s="102"/>
      <c r="E349" s="102"/>
      <c r="G349" s="103"/>
      <c r="H349" s="8"/>
    </row>
    <row r="350" ht="15.75" customHeight="1">
      <c r="D350" s="102"/>
      <c r="E350" s="102"/>
      <c r="G350" s="103"/>
      <c r="H350" s="8"/>
    </row>
    <row r="351" ht="15.75" customHeight="1">
      <c r="D351" s="102"/>
      <c r="E351" s="102"/>
      <c r="G351" s="103"/>
      <c r="H351" s="8"/>
    </row>
    <row r="352" ht="15.75" customHeight="1">
      <c r="D352" s="102"/>
      <c r="E352" s="102"/>
      <c r="G352" s="103"/>
      <c r="H352" s="8"/>
    </row>
    <row r="353" ht="15.75" customHeight="1">
      <c r="D353" s="102"/>
      <c r="E353" s="102"/>
      <c r="G353" s="103"/>
      <c r="H353" s="8"/>
    </row>
    <row r="354" ht="15.75" customHeight="1">
      <c r="D354" s="102"/>
      <c r="E354" s="102"/>
      <c r="G354" s="103"/>
      <c r="H354" s="8"/>
    </row>
    <row r="355" ht="15.75" customHeight="1">
      <c r="D355" s="102"/>
      <c r="E355" s="102"/>
      <c r="G355" s="103"/>
      <c r="H355" s="8"/>
    </row>
    <row r="356" ht="15.75" customHeight="1">
      <c r="D356" s="102"/>
      <c r="E356" s="102"/>
      <c r="G356" s="103"/>
      <c r="H356" s="8"/>
    </row>
    <row r="357" ht="15.75" customHeight="1">
      <c r="D357" s="102"/>
      <c r="E357" s="102"/>
      <c r="G357" s="103"/>
      <c r="H357" s="8"/>
    </row>
    <row r="358" ht="15.75" customHeight="1">
      <c r="D358" s="102"/>
      <c r="E358" s="102"/>
      <c r="G358" s="103"/>
      <c r="H358" s="8"/>
    </row>
    <row r="359" ht="15.75" customHeight="1">
      <c r="D359" s="102"/>
      <c r="E359" s="102"/>
      <c r="G359" s="103"/>
      <c r="H359" s="8"/>
    </row>
    <row r="360" ht="15.75" customHeight="1">
      <c r="D360" s="102"/>
      <c r="E360" s="102"/>
      <c r="G360" s="103"/>
      <c r="H360" s="8"/>
    </row>
    <row r="361" ht="15.75" customHeight="1">
      <c r="D361" s="102"/>
      <c r="E361" s="102"/>
      <c r="G361" s="103"/>
      <c r="H361" s="8"/>
    </row>
    <row r="362" ht="15.75" customHeight="1">
      <c r="D362" s="102"/>
      <c r="E362" s="102"/>
      <c r="G362" s="103"/>
      <c r="H362" s="8"/>
    </row>
    <row r="363" ht="15.75" customHeight="1">
      <c r="D363" s="102"/>
      <c r="E363" s="102"/>
      <c r="G363" s="103"/>
      <c r="H363" s="8"/>
    </row>
    <row r="364" ht="15.75" customHeight="1">
      <c r="D364" s="102"/>
      <c r="E364" s="102"/>
      <c r="G364" s="103"/>
      <c r="H364" s="8"/>
    </row>
    <row r="365" ht="15.75" customHeight="1">
      <c r="D365" s="102"/>
      <c r="E365" s="102"/>
      <c r="G365" s="103"/>
      <c r="H365" s="8"/>
    </row>
    <row r="366" ht="15.75" customHeight="1">
      <c r="D366" s="102"/>
      <c r="E366" s="102"/>
      <c r="G366" s="103"/>
      <c r="H366" s="8"/>
    </row>
    <row r="367" ht="15.75" customHeight="1">
      <c r="D367" s="102"/>
      <c r="E367" s="102"/>
      <c r="G367" s="103"/>
      <c r="H367" s="8"/>
    </row>
    <row r="368" ht="15.75" customHeight="1">
      <c r="D368" s="102"/>
      <c r="E368" s="102"/>
      <c r="G368" s="103"/>
      <c r="H368" s="8"/>
    </row>
    <row r="369" ht="15.75" customHeight="1">
      <c r="D369" s="102"/>
      <c r="E369" s="102"/>
      <c r="G369" s="103"/>
      <c r="H369" s="8"/>
    </row>
    <row r="370" ht="15.75" customHeight="1">
      <c r="D370" s="102"/>
      <c r="E370" s="102"/>
      <c r="G370" s="103"/>
      <c r="H370" s="8"/>
    </row>
    <row r="371" ht="15.75" customHeight="1">
      <c r="D371" s="102"/>
      <c r="E371" s="102"/>
      <c r="G371" s="103"/>
      <c r="H371" s="8"/>
    </row>
    <row r="372" ht="15.75" customHeight="1">
      <c r="D372" s="102"/>
      <c r="E372" s="102"/>
      <c r="G372" s="103"/>
      <c r="H372" s="8"/>
    </row>
    <row r="373" ht="15.75" customHeight="1">
      <c r="D373" s="102"/>
      <c r="E373" s="102"/>
      <c r="G373" s="103"/>
      <c r="H373" s="8"/>
    </row>
    <row r="374" ht="15.75" customHeight="1">
      <c r="D374" s="102"/>
      <c r="E374" s="102"/>
      <c r="G374" s="103"/>
      <c r="H374" s="8"/>
    </row>
    <row r="375" ht="15.75" customHeight="1">
      <c r="D375" s="102"/>
      <c r="E375" s="102"/>
      <c r="G375" s="103"/>
      <c r="H375" s="8"/>
    </row>
    <row r="376" ht="15.75" customHeight="1">
      <c r="D376" s="102"/>
      <c r="E376" s="102"/>
      <c r="G376" s="103"/>
      <c r="H376" s="8"/>
    </row>
    <row r="377" ht="15.75" customHeight="1">
      <c r="D377" s="102"/>
      <c r="E377" s="102"/>
      <c r="G377" s="103"/>
      <c r="H377" s="8"/>
    </row>
    <row r="378" ht="15.75" customHeight="1">
      <c r="D378" s="102"/>
      <c r="E378" s="102"/>
      <c r="G378" s="103"/>
      <c r="H378" s="8"/>
    </row>
    <row r="379" ht="15.75" customHeight="1">
      <c r="D379" s="102"/>
      <c r="E379" s="102"/>
      <c r="G379" s="103"/>
      <c r="H379" s="8"/>
    </row>
    <row r="380" ht="15.75" customHeight="1">
      <c r="D380" s="102"/>
      <c r="E380" s="102"/>
      <c r="G380" s="103"/>
      <c r="H380" s="8"/>
    </row>
    <row r="381" ht="15.75" customHeight="1">
      <c r="D381" s="102"/>
      <c r="E381" s="102"/>
      <c r="G381" s="103"/>
      <c r="H381" s="8"/>
    </row>
    <row r="382" ht="15.75" customHeight="1">
      <c r="D382" s="102"/>
      <c r="E382" s="102"/>
      <c r="G382" s="103"/>
      <c r="H382" s="8"/>
    </row>
    <row r="383" ht="15.75" customHeight="1">
      <c r="D383" s="102"/>
      <c r="E383" s="102"/>
      <c r="G383" s="103"/>
      <c r="H383" s="8"/>
    </row>
    <row r="384" ht="15.75" customHeight="1">
      <c r="D384" s="102"/>
      <c r="E384" s="102"/>
      <c r="G384" s="103"/>
      <c r="H384" s="8"/>
    </row>
    <row r="385" ht="15.75" customHeight="1">
      <c r="D385" s="102"/>
      <c r="E385" s="102"/>
      <c r="G385" s="103"/>
      <c r="H385" s="8"/>
    </row>
    <row r="386" ht="15.75" customHeight="1">
      <c r="D386" s="102"/>
      <c r="E386" s="102"/>
      <c r="G386" s="103"/>
      <c r="H386" s="8"/>
    </row>
    <row r="387" ht="15.75" customHeight="1">
      <c r="D387" s="102"/>
      <c r="E387" s="102"/>
      <c r="G387" s="103"/>
      <c r="H387" s="8"/>
    </row>
    <row r="388" ht="15.75" customHeight="1">
      <c r="D388" s="102"/>
      <c r="E388" s="102"/>
      <c r="G388" s="103"/>
      <c r="H388" s="8"/>
    </row>
    <row r="389" ht="15.75" customHeight="1">
      <c r="D389" s="102"/>
      <c r="E389" s="102"/>
      <c r="G389" s="103"/>
      <c r="H389" s="8"/>
    </row>
    <row r="390" ht="15.75" customHeight="1">
      <c r="D390" s="102"/>
      <c r="E390" s="102"/>
      <c r="G390" s="103"/>
      <c r="H390" s="8"/>
    </row>
    <row r="391" ht="15.75" customHeight="1">
      <c r="D391" s="102"/>
      <c r="E391" s="102"/>
      <c r="G391" s="103"/>
      <c r="H391" s="8"/>
    </row>
    <row r="392" ht="15.75" customHeight="1">
      <c r="D392" s="102"/>
      <c r="E392" s="102"/>
      <c r="G392" s="103"/>
      <c r="H392" s="8"/>
    </row>
    <row r="393" ht="15.75" customHeight="1">
      <c r="D393" s="102"/>
      <c r="E393" s="102"/>
      <c r="G393" s="103"/>
      <c r="H393" s="8"/>
    </row>
    <row r="394" ht="15.75" customHeight="1">
      <c r="D394" s="102"/>
      <c r="E394" s="102"/>
      <c r="G394" s="103"/>
      <c r="H394" s="8"/>
    </row>
    <row r="395" ht="15.75" customHeight="1">
      <c r="D395" s="102"/>
      <c r="E395" s="102"/>
      <c r="G395" s="103"/>
      <c r="H395" s="8"/>
    </row>
    <row r="396" ht="15.75" customHeight="1">
      <c r="D396" s="102"/>
      <c r="E396" s="102"/>
      <c r="G396" s="103"/>
      <c r="H396" s="8"/>
    </row>
    <row r="397" ht="15.75" customHeight="1">
      <c r="D397" s="102"/>
      <c r="E397" s="102"/>
      <c r="G397" s="103"/>
      <c r="H397" s="8"/>
    </row>
    <row r="398" ht="15.75" customHeight="1">
      <c r="D398" s="102"/>
      <c r="E398" s="102"/>
      <c r="G398" s="103"/>
      <c r="H398" s="8"/>
    </row>
    <row r="399" ht="15.75" customHeight="1">
      <c r="D399" s="102"/>
      <c r="E399" s="102"/>
      <c r="G399" s="103"/>
      <c r="H399" s="8"/>
    </row>
    <row r="400" ht="15.75" customHeight="1">
      <c r="D400" s="102"/>
      <c r="E400" s="102"/>
      <c r="G400" s="103"/>
      <c r="H400" s="8"/>
    </row>
    <row r="401" ht="15.75" customHeight="1">
      <c r="D401" s="102"/>
      <c r="E401" s="102"/>
      <c r="G401" s="103"/>
      <c r="H401" s="8"/>
    </row>
    <row r="402" ht="15.75" customHeight="1">
      <c r="D402" s="102"/>
      <c r="E402" s="102"/>
      <c r="G402" s="103"/>
      <c r="H402" s="8"/>
    </row>
    <row r="403" ht="15.75" customHeight="1">
      <c r="D403" s="102"/>
      <c r="E403" s="102"/>
      <c r="G403" s="103"/>
      <c r="H403" s="8"/>
    </row>
    <row r="404" ht="15.75" customHeight="1">
      <c r="D404" s="102"/>
      <c r="E404" s="102"/>
      <c r="G404" s="103"/>
      <c r="H404" s="8"/>
    </row>
    <row r="405" ht="15.75" customHeight="1">
      <c r="D405" s="102"/>
      <c r="E405" s="102"/>
      <c r="G405" s="103"/>
      <c r="H405" s="8"/>
    </row>
    <row r="406" ht="15.75" customHeight="1">
      <c r="D406" s="102"/>
      <c r="E406" s="102"/>
      <c r="G406" s="103"/>
      <c r="H406" s="8"/>
    </row>
    <row r="407" ht="15.75" customHeight="1">
      <c r="D407" s="102"/>
      <c r="E407" s="102"/>
      <c r="G407" s="103"/>
      <c r="H407" s="8"/>
    </row>
    <row r="408" ht="15.75" customHeight="1">
      <c r="D408" s="102"/>
      <c r="E408" s="102"/>
      <c r="G408" s="103"/>
      <c r="H408" s="8"/>
    </row>
    <row r="409" ht="15.75" customHeight="1">
      <c r="D409" s="102"/>
      <c r="E409" s="102"/>
      <c r="G409" s="103"/>
      <c r="H409" s="8"/>
    </row>
    <row r="410" ht="15.75" customHeight="1">
      <c r="D410" s="102"/>
      <c r="E410" s="102"/>
      <c r="G410" s="103"/>
      <c r="H410" s="8"/>
    </row>
    <row r="411" ht="15.75" customHeight="1">
      <c r="D411" s="102"/>
      <c r="E411" s="102"/>
      <c r="G411" s="103"/>
      <c r="H411" s="8"/>
    </row>
    <row r="412" ht="15.75" customHeight="1">
      <c r="D412" s="102"/>
      <c r="E412" s="102"/>
      <c r="G412" s="103"/>
      <c r="H412" s="8"/>
    </row>
    <row r="413" ht="15.75" customHeight="1">
      <c r="D413" s="102"/>
      <c r="E413" s="102"/>
      <c r="G413" s="103"/>
      <c r="H413" s="8"/>
    </row>
    <row r="414" ht="15.75" customHeight="1">
      <c r="D414" s="102"/>
      <c r="E414" s="102"/>
      <c r="G414" s="103"/>
      <c r="H414" s="8"/>
    </row>
    <row r="415" ht="15.75" customHeight="1">
      <c r="D415" s="102"/>
      <c r="E415" s="102"/>
      <c r="G415" s="103"/>
      <c r="H415" s="8"/>
    </row>
    <row r="416" ht="15.75" customHeight="1">
      <c r="D416" s="102"/>
      <c r="E416" s="102"/>
      <c r="G416" s="103"/>
      <c r="H416" s="8"/>
    </row>
    <row r="417" ht="15.75" customHeight="1">
      <c r="D417" s="102"/>
      <c r="E417" s="102"/>
      <c r="G417" s="103"/>
      <c r="H417" s="8"/>
    </row>
    <row r="418" ht="15.75" customHeight="1">
      <c r="D418" s="102"/>
      <c r="E418" s="102"/>
      <c r="G418" s="103"/>
      <c r="H418" s="8"/>
    </row>
    <row r="419" ht="15.75" customHeight="1">
      <c r="D419" s="102"/>
      <c r="E419" s="102"/>
      <c r="G419" s="103"/>
      <c r="H419" s="8"/>
    </row>
    <row r="420" ht="15.75" customHeight="1">
      <c r="D420" s="102"/>
      <c r="E420" s="102"/>
      <c r="G420" s="103"/>
      <c r="H420" s="8"/>
    </row>
    <row r="421" ht="15.75" customHeight="1">
      <c r="D421" s="102"/>
      <c r="E421" s="102"/>
      <c r="G421" s="103"/>
      <c r="H421" s="8"/>
    </row>
    <row r="422" ht="15.75" customHeight="1">
      <c r="D422" s="102"/>
      <c r="E422" s="102"/>
      <c r="G422" s="103"/>
      <c r="H422" s="8"/>
    </row>
    <row r="423" ht="15.75" customHeight="1">
      <c r="D423" s="102"/>
      <c r="E423" s="102"/>
      <c r="G423" s="103"/>
      <c r="H423" s="8"/>
    </row>
    <row r="424" ht="15.75" customHeight="1">
      <c r="D424" s="102"/>
      <c r="E424" s="102"/>
      <c r="G424" s="103"/>
      <c r="H424" s="8"/>
    </row>
    <row r="425" ht="15.75" customHeight="1">
      <c r="D425" s="102"/>
      <c r="E425" s="102"/>
      <c r="G425" s="103"/>
      <c r="H425" s="8"/>
    </row>
    <row r="426" ht="15.75" customHeight="1">
      <c r="D426" s="102"/>
      <c r="E426" s="102"/>
      <c r="G426" s="103"/>
      <c r="H426" s="8"/>
    </row>
    <row r="427" ht="15.75" customHeight="1">
      <c r="D427" s="102"/>
      <c r="E427" s="102"/>
      <c r="G427" s="103"/>
      <c r="H427" s="8"/>
    </row>
    <row r="428" ht="15.75" customHeight="1">
      <c r="D428" s="102"/>
      <c r="E428" s="102"/>
      <c r="G428" s="103"/>
      <c r="H428" s="8"/>
    </row>
    <row r="429" ht="15.75" customHeight="1">
      <c r="D429" s="102"/>
      <c r="E429" s="102"/>
      <c r="G429" s="103"/>
      <c r="H429" s="8"/>
    </row>
    <row r="430" ht="15.75" customHeight="1">
      <c r="D430" s="102"/>
      <c r="E430" s="102"/>
      <c r="G430" s="103"/>
      <c r="H430" s="8"/>
    </row>
    <row r="431" ht="15.75" customHeight="1">
      <c r="D431" s="102"/>
      <c r="E431" s="102"/>
      <c r="G431" s="103"/>
      <c r="H431" s="8"/>
    </row>
    <row r="432" ht="15.75" customHeight="1">
      <c r="D432" s="102"/>
      <c r="E432" s="102"/>
      <c r="G432" s="103"/>
      <c r="H432" s="8"/>
    </row>
    <row r="433" ht="15.75" customHeight="1">
      <c r="D433" s="102"/>
      <c r="E433" s="102"/>
      <c r="G433" s="103"/>
      <c r="H433" s="8"/>
    </row>
    <row r="434" ht="15.75" customHeight="1">
      <c r="D434" s="102"/>
      <c r="E434" s="102"/>
      <c r="G434" s="103"/>
      <c r="H434" s="8"/>
    </row>
    <row r="435" ht="15.75" customHeight="1">
      <c r="D435" s="102"/>
      <c r="E435" s="102"/>
      <c r="G435" s="103"/>
      <c r="H435" s="8"/>
    </row>
    <row r="436" ht="15.75" customHeight="1">
      <c r="D436" s="102"/>
      <c r="E436" s="102"/>
      <c r="G436" s="103"/>
      <c r="H436" s="8"/>
    </row>
    <row r="437" ht="15.75" customHeight="1">
      <c r="D437" s="102"/>
      <c r="E437" s="102"/>
      <c r="G437" s="103"/>
      <c r="H437" s="8"/>
    </row>
    <row r="438" ht="15.75" customHeight="1">
      <c r="D438" s="102"/>
      <c r="E438" s="102"/>
      <c r="G438" s="103"/>
      <c r="H438" s="8"/>
    </row>
    <row r="439" ht="15.75" customHeight="1">
      <c r="D439" s="102"/>
      <c r="E439" s="102"/>
      <c r="G439" s="103"/>
      <c r="H439" s="8"/>
    </row>
    <row r="440" ht="15.75" customHeight="1">
      <c r="D440" s="102"/>
      <c r="E440" s="102"/>
      <c r="G440" s="103"/>
      <c r="H440" s="8"/>
    </row>
    <row r="441" ht="15.75" customHeight="1">
      <c r="D441" s="102"/>
      <c r="E441" s="102"/>
      <c r="G441" s="103"/>
      <c r="H441" s="8"/>
    </row>
    <row r="442" ht="15.75" customHeight="1">
      <c r="D442" s="102"/>
      <c r="E442" s="102"/>
      <c r="G442" s="103"/>
      <c r="H442" s="8"/>
    </row>
    <row r="443" ht="15.75" customHeight="1">
      <c r="D443" s="102"/>
      <c r="E443" s="102"/>
      <c r="G443" s="103"/>
      <c r="H443" s="8"/>
    </row>
    <row r="444" ht="15.75" customHeight="1">
      <c r="D444" s="102"/>
      <c r="E444" s="102"/>
      <c r="G444" s="103"/>
      <c r="H444" s="8"/>
    </row>
    <row r="445" ht="15.75" customHeight="1">
      <c r="D445" s="102"/>
      <c r="E445" s="102"/>
      <c r="G445" s="103"/>
      <c r="H445" s="8"/>
    </row>
    <row r="446" ht="15.75" customHeight="1">
      <c r="D446" s="102"/>
      <c r="E446" s="102"/>
      <c r="G446" s="103"/>
      <c r="H446" s="8"/>
    </row>
    <row r="447" ht="15.75" customHeight="1">
      <c r="D447" s="102"/>
      <c r="E447" s="102"/>
      <c r="G447" s="103"/>
      <c r="H447" s="8"/>
    </row>
    <row r="448" ht="15.75" customHeight="1">
      <c r="D448" s="102"/>
      <c r="E448" s="102"/>
      <c r="G448" s="103"/>
      <c r="H448" s="8"/>
    </row>
    <row r="449" ht="15.75" customHeight="1">
      <c r="D449" s="102"/>
      <c r="E449" s="102"/>
      <c r="G449" s="103"/>
      <c r="H449" s="8"/>
    </row>
    <row r="450" ht="15.75" customHeight="1">
      <c r="D450" s="102"/>
      <c r="E450" s="102"/>
      <c r="G450" s="103"/>
      <c r="H450" s="8"/>
    </row>
    <row r="451" ht="15.75" customHeight="1">
      <c r="D451" s="102"/>
      <c r="E451" s="102"/>
      <c r="G451" s="103"/>
      <c r="H451" s="8"/>
    </row>
    <row r="452" ht="15.75" customHeight="1">
      <c r="D452" s="102"/>
      <c r="E452" s="102"/>
      <c r="G452" s="103"/>
      <c r="H452" s="8"/>
    </row>
    <row r="453" ht="15.75" customHeight="1">
      <c r="D453" s="102"/>
      <c r="E453" s="102"/>
      <c r="G453" s="103"/>
      <c r="H453" s="8"/>
    </row>
    <row r="454" ht="15.75" customHeight="1">
      <c r="D454" s="102"/>
      <c r="E454" s="102"/>
      <c r="G454" s="103"/>
      <c r="H454" s="8"/>
    </row>
    <row r="455" ht="15.75" customHeight="1">
      <c r="D455" s="102"/>
      <c r="E455" s="102"/>
      <c r="G455" s="103"/>
      <c r="H455" s="8"/>
    </row>
    <row r="456" ht="15.75" customHeight="1">
      <c r="D456" s="102"/>
      <c r="E456" s="102"/>
      <c r="G456" s="103"/>
      <c r="H456" s="8"/>
    </row>
    <row r="457" ht="15.75" customHeight="1">
      <c r="D457" s="102"/>
      <c r="E457" s="102"/>
      <c r="G457" s="103"/>
      <c r="H457" s="8"/>
    </row>
    <row r="458" ht="15.75" customHeight="1">
      <c r="D458" s="102"/>
      <c r="E458" s="102"/>
      <c r="G458" s="103"/>
      <c r="H458" s="8"/>
    </row>
    <row r="459" ht="15.75" customHeight="1">
      <c r="D459" s="102"/>
      <c r="E459" s="102"/>
      <c r="G459" s="103"/>
      <c r="H459" s="8"/>
    </row>
    <row r="460" ht="15.75" customHeight="1">
      <c r="D460" s="102"/>
      <c r="E460" s="102"/>
      <c r="G460" s="103"/>
      <c r="H460" s="8"/>
    </row>
    <row r="461" ht="15.75" customHeight="1">
      <c r="D461" s="102"/>
      <c r="E461" s="102"/>
      <c r="G461" s="103"/>
      <c r="H461" s="8"/>
    </row>
    <row r="462" ht="15.75" customHeight="1">
      <c r="D462" s="102"/>
      <c r="E462" s="102"/>
      <c r="G462" s="103"/>
      <c r="H462" s="8"/>
    </row>
    <row r="463" ht="15.75" customHeight="1">
      <c r="D463" s="102"/>
      <c r="E463" s="102"/>
      <c r="G463" s="103"/>
      <c r="H463" s="8"/>
    </row>
    <row r="464" ht="15.75" customHeight="1">
      <c r="D464" s="102"/>
      <c r="E464" s="102"/>
      <c r="G464" s="103"/>
      <c r="H464" s="8"/>
    </row>
    <row r="465" ht="15.75" customHeight="1">
      <c r="D465" s="102"/>
      <c r="E465" s="102"/>
      <c r="G465" s="103"/>
      <c r="H465" s="8"/>
    </row>
    <row r="466" ht="15.75" customHeight="1">
      <c r="D466" s="102"/>
      <c r="E466" s="102"/>
      <c r="G466" s="103"/>
      <c r="H466" s="8"/>
    </row>
    <row r="467" ht="15.75" customHeight="1">
      <c r="D467" s="102"/>
      <c r="E467" s="102"/>
      <c r="G467" s="103"/>
      <c r="H467" s="8"/>
    </row>
    <row r="468" ht="15.75" customHeight="1">
      <c r="D468" s="102"/>
      <c r="E468" s="102"/>
      <c r="G468" s="103"/>
      <c r="H468" s="8"/>
    </row>
    <row r="469" ht="15.75" customHeight="1">
      <c r="D469" s="102"/>
      <c r="E469" s="102"/>
      <c r="G469" s="103"/>
      <c r="H469" s="8"/>
    </row>
    <row r="470" ht="15.75" customHeight="1">
      <c r="D470" s="102"/>
      <c r="E470" s="102"/>
      <c r="G470" s="103"/>
      <c r="H470" s="8"/>
    </row>
    <row r="471" ht="15.75" customHeight="1">
      <c r="D471" s="102"/>
      <c r="E471" s="102"/>
      <c r="G471" s="103"/>
      <c r="H471" s="8"/>
    </row>
    <row r="472" ht="15.75" customHeight="1">
      <c r="D472" s="102"/>
      <c r="E472" s="102"/>
      <c r="G472" s="103"/>
      <c r="H472" s="8"/>
    </row>
    <row r="473" ht="15.75" customHeight="1">
      <c r="D473" s="102"/>
      <c r="E473" s="102"/>
      <c r="G473" s="103"/>
      <c r="H473" s="8"/>
    </row>
    <row r="474" ht="15.75" customHeight="1">
      <c r="D474" s="102"/>
      <c r="E474" s="102"/>
      <c r="G474" s="103"/>
      <c r="H474" s="8"/>
    </row>
    <row r="475" ht="15.75" customHeight="1">
      <c r="D475" s="102"/>
      <c r="E475" s="102"/>
      <c r="G475" s="103"/>
      <c r="H475" s="8"/>
    </row>
    <row r="476" ht="15.75" customHeight="1">
      <c r="D476" s="102"/>
      <c r="E476" s="102"/>
      <c r="G476" s="103"/>
      <c r="H476" s="8"/>
    </row>
    <row r="477" ht="15.75" customHeight="1">
      <c r="D477" s="102"/>
      <c r="E477" s="102"/>
      <c r="G477" s="103"/>
      <c r="H477" s="8"/>
    </row>
    <row r="478" ht="15.75" customHeight="1">
      <c r="D478" s="102"/>
      <c r="E478" s="102"/>
      <c r="G478" s="103"/>
      <c r="H478" s="8"/>
    </row>
    <row r="479" ht="15.75" customHeight="1">
      <c r="D479" s="102"/>
      <c r="E479" s="102"/>
      <c r="G479" s="103"/>
      <c r="H479" s="8"/>
    </row>
    <row r="480" ht="15.75" customHeight="1">
      <c r="D480" s="102"/>
      <c r="E480" s="102"/>
      <c r="G480" s="103"/>
      <c r="H480" s="8"/>
    </row>
    <row r="481" ht="15.75" customHeight="1">
      <c r="D481" s="102"/>
      <c r="E481" s="102"/>
      <c r="G481" s="103"/>
      <c r="H481" s="8"/>
    </row>
    <row r="482" ht="15.75" customHeight="1">
      <c r="D482" s="102"/>
      <c r="E482" s="102"/>
      <c r="G482" s="103"/>
      <c r="H482" s="8"/>
    </row>
    <row r="483" ht="15.75" customHeight="1">
      <c r="D483" s="102"/>
      <c r="E483" s="102"/>
      <c r="G483" s="103"/>
      <c r="H483" s="8"/>
    </row>
    <row r="484" ht="15.75" customHeight="1">
      <c r="D484" s="102"/>
      <c r="E484" s="102"/>
      <c r="G484" s="103"/>
      <c r="H484" s="8"/>
    </row>
    <row r="485" ht="15.75" customHeight="1">
      <c r="D485" s="102"/>
      <c r="E485" s="102"/>
      <c r="G485" s="103"/>
      <c r="H485" s="8"/>
    </row>
    <row r="486" ht="15.75" customHeight="1">
      <c r="D486" s="102"/>
      <c r="E486" s="102"/>
      <c r="G486" s="103"/>
      <c r="H486" s="8"/>
    </row>
    <row r="487" ht="15.75" customHeight="1">
      <c r="D487" s="102"/>
      <c r="E487" s="102"/>
      <c r="G487" s="103"/>
      <c r="H487" s="8"/>
    </row>
    <row r="488" ht="15.75" customHeight="1">
      <c r="D488" s="102"/>
      <c r="E488" s="102"/>
      <c r="G488" s="103"/>
      <c r="H488" s="8"/>
    </row>
    <row r="489" ht="15.75" customHeight="1">
      <c r="D489" s="102"/>
      <c r="E489" s="102"/>
      <c r="G489" s="103"/>
      <c r="H489" s="8"/>
    </row>
    <row r="490" ht="15.75" customHeight="1">
      <c r="D490" s="102"/>
      <c r="E490" s="102"/>
      <c r="G490" s="103"/>
      <c r="H490" s="8"/>
    </row>
    <row r="491" ht="15.75" customHeight="1">
      <c r="D491" s="102"/>
      <c r="E491" s="102"/>
      <c r="G491" s="103"/>
      <c r="H491" s="8"/>
    </row>
    <row r="492" ht="15.75" customHeight="1">
      <c r="D492" s="102"/>
      <c r="E492" s="102"/>
      <c r="G492" s="103"/>
      <c r="H492" s="8"/>
    </row>
    <row r="493" ht="15.75" customHeight="1">
      <c r="D493" s="102"/>
      <c r="E493" s="102"/>
      <c r="G493" s="103"/>
      <c r="H493" s="8"/>
    </row>
    <row r="494" ht="15.75" customHeight="1">
      <c r="D494" s="102"/>
      <c r="E494" s="102"/>
      <c r="G494" s="103"/>
      <c r="H494" s="8"/>
    </row>
    <row r="495" ht="15.75" customHeight="1">
      <c r="D495" s="102"/>
      <c r="E495" s="102"/>
      <c r="G495" s="103"/>
      <c r="H495" s="8"/>
    </row>
    <row r="496" ht="15.75" customHeight="1">
      <c r="D496" s="102"/>
      <c r="E496" s="102"/>
      <c r="G496" s="103"/>
      <c r="H496" s="8"/>
    </row>
    <row r="497" ht="15.75" customHeight="1">
      <c r="D497" s="102"/>
      <c r="E497" s="102"/>
      <c r="G497" s="103"/>
      <c r="H497" s="8"/>
    </row>
    <row r="498" ht="15.75" customHeight="1">
      <c r="D498" s="102"/>
      <c r="E498" s="102"/>
      <c r="G498" s="103"/>
      <c r="H498" s="8"/>
    </row>
    <row r="499" ht="15.75" customHeight="1">
      <c r="D499" s="102"/>
      <c r="E499" s="102"/>
      <c r="G499" s="103"/>
      <c r="H499" s="8"/>
    </row>
    <row r="500" ht="15.75" customHeight="1">
      <c r="D500" s="102"/>
      <c r="E500" s="102"/>
      <c r="G500" s="103"/>
      <c r="H500" s="8"/>
    </row>
    <row r="501" ht="15.75" customHeight="1">
      <c r="D501" s="102"/>
      <c r="E501" s="102"/>
      <c r="G501" s="103"/>
      <c r="H501" s="8"/>
    </row>
    <row r="502" ht="15.75" customHeight="1">
      <c r="D502" s="102"/>
      <c r="E502" s="102"/>
      <c r="G502" s="103"/>
      <c r="H502" s="8"/>
    </row>
    <row r="503" ht="15.75" customHeight="1">
      <c r="D503" s="102"/>
      <c r="E503" s="102"/>
      <c r="G503" s="103"/>
      <c r="H503" s="8"/>
    </row>
    <row r="504" ht="15.75" customHeight="1">
      <c r="D504" s="102"/>
      <c r="E504" s="102"/>
      <c r="G504" s="103"/>
      <c r="H504" s="8"/>
    </row>
    <row r="505" ht="15.75" customHeight="1">
      <c r="D505" s="102"/>
      <c r="E505" s="102"/>
      <c r="G505" s="103"/>
      <c r="H505" s="8"/>
    </row>
    <row r="506" ht="15.75" customHeight="1">
      <c r="D506" s="102"/>
      <c r="E506" s="102"/>
      <c r="G506" s="103"/>
      <c r="H506" s="8"/>
    </row>
    <row r="507" ht="15.75" customHeight="1">
      <c r="D507" s="102"/>
      <c r="E507" s="102"/>
      <c r="G507" s="103"/>
      <c r="H507" s="8"/>
    </row>
    <row r="508" ht="15.75" customHeight="1">
      <c r="D508" s="102"/>
      <c r="E508" s="102"/>
      <c r="G508" s="103"/>
      <c r="H508" s="8"/>
    </row>
    <row r="509" ht="15.75" customHeight="1">
      <c r="D509" s="102"/>
      <c r="E509" s="102"/>
      <c r="G509" s="103"/>
      <c r="H509" s="8"/>
    </row>
    <row r="510" ht="15.75" customHeight="1">
      <c r="D510" s="102"/>
      <c r="E510" s="102"/>
      <c r="G510" s="103"/>
      <c r="H510" s="8"/>
    </row>
    <row r="511" ht="15.75" customHeight="1">
      <c r="D511" s="102"/>
      <c r="E511" s="102"/>
      <c r="G511" s="103"/>
      <c r="H511" s="8"/>
    </row>
    <row r="512" ht="15.75" customHeight="1">
      <c r="D512" s="102"/>
      <c r="E512" s="102"/>
      <c r="G512" s="103"/>
      <c r="H512" s="8"/>
    </row>
    <row r="513" ht="15.75" customHeight="1">
      <c r="D513" s="102"/>
      <c r="E513" s="102"/>
      <c r="G513" s="103"/>
      <c r="H513" s="8"/>
    </row>
    <row r="514" ht="15.75" customHeight="1">
      <c r="D514" s="102"/>
      <c r="E514" s="102"/>
      <c r="G514" s="103"/>
      <c r="H514" s="8"/>
    </row>
    <row r="515" ht="15.75" customHeight="1">
      <c r="D515" s="102"/>
      <c r="E515" s="102"/>
      <c r="G515" s="103"/>
      <c r="H515" s="8"/>
    </row>
    <row r="516" ht="15.75" customHeight="1">
      <c r="D516" s="102"/>
      <c r="E516" s="102"/>
      <c r="G516" s="103"/>
      <c r="H516" s="8"/>
    </row>
    <row r="517" ht="15.75" customHeight="1">
      <c r="D517" s="102"/>
      <c r="E517" s="102"/>
      <c r="G517" s="103"/>
      <c r="H517" s="8"/>
    </row>
    <row r="518" ht="15.75" customHeight="1">
      <c r="D518" s="102"/>
      <c r="E518" s="102"/>
      <c r="G518" s="103"/>
      <c r="H518" s="8"/>
    </row>
    <row r="519" ht="15.75" customHeight="1">
      <c r="D519" s="102"/>
      <c r="E519" s="102"/>
      <c r="G519" s="103"/>
      <c r="H519" s="8"/>
    </row>
    <row r="520" ht="15.75" customHeight="1">
      <c r="D520" s="102"/>
      <c r="E520" s="102"/>
      <c r="G520" s="103"/>
      <c r="H520" s="8"/>
    </row>
    <row r="521" ht="15.75" customHeight="1">
      <c r="D521" s="102"/>
      <c r="E521" s="102"/>
      <c r="G521" s="103"/>
      <c r="H521" s="8"/>
    </row>
    <row r="522" ht="15.75" customHeight="1">
      <c r="D522" s="102"/>
      <c r="E522" s="102"/>
      <c r="G522" s="103"/>
      <c r="H522" s="8"/>
    </row>
    <row r="523" ht="15.75" customHeight="1">
      <c r="D523" s="102"/>
      <c r="E523" s="102"/>
      <c r="G523" s="103"/>
      <c r="H523" s="8"/>
    </row>
    <row r="524" ht="15.75" customHeight="1">
      <c r="D524" s="102"/>
      <c r="E524" s="102"/>
      <c r="G524" s="103"/>
      <c r="H524" s="8"/>
    </row>
    <row r="525" ht="15.75" customHeight="1">
      <c r="D525" s="102"/>
      <c r="E525" s="102"/>
      <c r="G525" s="103"/>
      <c r="H525" s="8"/>
    </row>
    <row r="526" ht="15.75" customHeight="1">
      <c r="D526" s="102"/>
      <c r="E526" s="102"/>
      <c r="G526" s="103"/>
      <c r="H526" s="8"/>
    </row>
    <row r="527" ht="15.75" customHeight="1">
      <c r="D527" s="102"/>
      <c r="E527" s="102"/>
      <c r="G527" s="103"/>
      <c r="H527" s="8"/>
    </row>
    <row r="528" ht="15.75" customHeight="1">
      <c r="D528" s="102"/>
      <c r="E528" s="102"/>
      <c r="G528" s="103"/>
      <c r="H528" s="8"/>
    </row>
    <row r="529" ht="15.75" customHeight="1">
      <c r="D529" s="102"/>
      <c r="E529" s="102"/>
      <c r="G529" s="103"/>
      <c r="H529" s="8"/>
    </row>
    <row r="530" ht="15.75" customHeight="1">
      <c r="D530" s="102"/>
      <c r="E530" s="102"/>
      <c r="G530" s="103"/>
      <c r="H530" s="8"/>
    </row>
    <row r="531" ht="15.75" customHeight="1">
      <c r="D531" s="102"/>
      <c r="E531" s="102"/>
      <c r="G531" s="103"/>
      <c r="H531" s="8"/>
    </row>
    <row r="532" ht="15.75" customHeight="1">
      <c r="D532" s="102"/>
      <c r="E532" s="102"/>
      <c r="G532" s="103"/>
      <c r="H532" s="8"/>
    </row>
    <row r="533" ht="15.75" customHeight="1">
      <c r="D533" s="102"/>
      <c r="E533" s="102"/>
      <c r="G533" s="103"/>
      <c r="H533" s="8"/>
    </row>
    <row r="534" ht="15.75" customHeight="1">
      <c r="D534" s="102"/>
      <c r="E534" s="102"/>
      <c r="G534" s="103"/>
      <c r="H534" s="8"/>
    </row>
    <row r="535" ht="15.75" customHeight="1">
      <c r="D535" s="102"/>
      <c r="E535" s="102"/>
      <c r="G535" s="103"/>
      <c r="H535" s="8"/>
    </row>
    <row r="536" ht="15.75" customHeight="1">
      <c r="D536" s="102"/>
      <c r="E536" s="102"/>
      <c r="G536" s="103"/>
      <c r="H536" s="8"/>
    </row>
    <row r="537" ht="15.75" customHeight="1">
      <c r="D537" s="102"/>
      <c r="E537" s="102"/>
      <c r="G537" s="103"/>
      <c r="H537" s="8"/>
    </row>
    <row r="538" ht="15.75" customHeight="1">
      <c r="D538" s="102"/>
      <c r="E538" s="102"/>
      <c r="G538" s="103"/>
      <c r="H538" s="8"/>
    </row>
    <row r="539" ht="15.75" customHeight="1">
      <c r="D539" s="102"/>
      <c r="E539" s="102"/>
      <c r="G539" s="103"/>
      <c r="H539" s="8"/>
    </row>
    <row r="540" ht="15.75" customHeight="1">
      <c r="D540" s="102"/>
      <c r="E540" s="102"/>
      <c r="G540" s="103"/>
      <c r="H540" s="8"/>
    </row>
    <row r="541" ht="15.75" customHeight="1">
      <c r="D541" s="102"/>
      <c r="E541" s="102"/>
      <c r="G541" s="103"/>
      <c r="H541" s="8"/>
    </row>
    <row r="542" ht="15.75" customHeight="1">
      <c r="D542" s="102"/>
      <c r="E542" s="102"/>
      <c r="G542" s="103"/>
      <c r="H542" s="8"/>
    </row>
    <row r="543" ht="15.75" customHeight="1">
      <c r="D543" s="102"/>
      <c r="E543" s="102"/>
      <c r="G543" s="103"/>
      <c r="H543" s="8"/>
    </row>
    <row r="544" ht="15.75" customHeight="1">
      <c r="D544" s="102"/>
      <c r="E544" s="102"/>
      <c r="G544" s="103"/>
      <c r="H544" s="8"/>
    </row>
    <row r="545" ht="15.75" customHeight="1">
      <c r="D545" s="102"/>
      <c r="E545" s="102"/>
      <c r="G545" s="103"/>
      <c r="H545" s="8"/>
    </row>
    <row r="546" ht="15.75" customHeight="1">
      <c r="D546" s="102"/>
      <c r="E546" s="102"/>
      <c r="G546" s="103"/>
      <c r="H546" s="8"/>
    </row>
    <row r="547" ht="15.75" customHeight="1">
      <c r="D547" s="102"/>
      <c r="E547" s="102"/>
      <c r="G547" s="103"/>
      <c r="H547" s="8"/>
    </row>
    <row r="548" ht="15.75" customHeight="1">
      <c r="D548" s="102"/>
      <c r="E548" s="102"/>
      <c r="G548" s="103"/>
      <c r="H548" s="8"/>
    </row>
    <row r="549" ht="15.75" customHeight="1">
      <c r="D549" s="102"/>
      <c r="E549" s="102"/>
      <c r="G549" s="103"/>
      <c r="H549" s="8"/>
    </row>
    <row r="550" ht="15.75" customHeight="1">
      <c r="D550" s="102"/>
      <c r="E550" s="102"/>
      <c r="G550" s="103"/>
      <c r="H550" s="8"/>
    </row>
    <row r="551" ht="15.75" customHeight="1">
      <c r="D551" s="102"/>
      <c r="E551" s="102"/>
      <c r="G551" s="103"/>
      <c r="H551" s="8"/>
    </row>
    <row r="552" ht="15.75" customHeight="1">
      <c r="D552" s="102"/>
      <c r="E552" s="102"/>
      <c r="G552" s="103"/>
      <c r="H552" s="8"/>
    </row>
    <row r="553" ht="15.75" customHeight="1">
      <c r="D553" s="102"/>
      <c r="E553" s="102"/>
      <c r="G553" s="103"/>
      <c r="H553" s="8"/>
    </row>
    <row r="554" ht="15.75" customHeight="1">
      <c r="D554" s="102"/>
      <c r="E554" s="102"/>
      <c r="G554" s="103"/>
      <c r="H554" s="8"/>
    </row>
    <row r="555" ht="15.75" customHeight="1">
      <c r="D555" s="102"/>
      <c r="E555" s="102"/>
      <c r="G555" s="103"/>
      <c r="H555" s="8"/>
    </row>
    <row r="556" ht="15.75" customHeight="1">
      <c r="D556" s="102"/>
      <c r="E556" s="102"/>
      <c r="G556" s="103"/>
      <c r="H556" s="8"/>
    </row>
    <row r="557" ht="15.75" customHeight="1">
      <c r="D557" s="102"/>
      <c r="E557" s="102"/>
      <c r="G557" s="103"/>
      <c r="H557" s="8"/>
    </row>
    <row r="558" ht="15.75" customHeight="1">
      <c r="D558" s="102"/>
      <c r="E558" s="102"/>
      <c r="G558" s="103"/>
      <c r="H558" s="8"/>
    </row>
    <row r="559" ht="15.75" customHeight="1">
      <c r="D559" s="102"/>
      <c r="E559" s="102"/>
      <c r="G559" s="103"/>
      <c r="H559" s="8"/>
    </row>
    <row r="560" ht="15.75" customHeight="1">
      <c r="D560" s="102"/>
      <c r="E560" s="102"/>
      <c r="G560" s="103"/>
      <c r="H560" s="8"/>
    </row>
    <row r="561" ht="15.75" customHeight="1">
      <c r="D561" s="102"/>
      <c r="E561" s="102"/>
      <c r="G561" s="103"/>
      <c r="H561" s="8"/>
    </row>
    <row r="562" ht="15.75" customHeight="1">
      <c r="D562" s="102"/>
      <c r="E562" s="102"/>
      <c r="G562" s="103"/>
      <c r="H562" s="8"/>
    </row>
    <row r="563" ht="15.75" customHeight="1">
      <c r="D563" s="102"/>
      <c r="E563" s="102"/>
      <c r="G563" s="103"/>
      <c r="H563" s="8"/>
    </row>
    <row r="564" ht="15.75" customHeight="1">
      <c r="D564" s="102"/>
      <c r="E564" s="102"/>
      <c r="G564" s="103"/>
      <c r="H564" s="8"/>
    </row>
    <row r="565" ht="15.75" customHeight="1">
      <c r="D565" s="102"/>
      <c r="E565" s="102"/>
      <c r="G565" s="103"/>
      <c r="H565" s="8"/>
    </row>
    <row r="566" ht="15.75" customHeight="1">
      <c r="D566" s="102"/>
      <c r="E566" s="102"/>
      <c r="G566" s="103"/>
      <c r="H566" s="8"/>
    </row>
    <row r="567" ht="15.75" customHeight="1">
      <c r="D567" s="102"/>
      <c r="E567" s="102"/>
      <c r="G567" s="103"/>
      <c r="H567" s="8"/>
    </row>
    <row r="568" ht="15.75" customHeight="1">
      <c r="D568" s="102"/>
      <c r="E568" s="102"/>
      <c r="G568" s="103"/>
      <c r="H568" s="8"/>
    </row>
    <row r="569" ht="15.75" customHeight="1">
      <c r="D569" s="102"/>
      <c r="E569" s="102"/>
      <c r="G569" s="103"/>
      <c r="H569" s="8"/>
    </row>
    <row r="570" ht="15.75" customHeight="1">
      <c r="D570" s="102"/>
      <c r="E570" s="102"/>
      <c r="G570" s="103"/>
      <c r="H570" s="8"/>
    </row>
    <row r="571" ht="15.75" customHeight="1">
      <c r="D571" s="102"/>
      <c r="E571" s="102"/>
      <c r="G571" s="103"/>
      <c r="H571" s="8"/>
    </row>
    <row r="572" ht="15.75" customHeight="1">
      <c r="D572" s="102"/>
      <c r="E572" s="102"/>
      <c r="G572" s="103"/>
      <c r="H572" s="8"/>
    </row>
    <row r="573" ht="15.75" customHeight="1">
      <c r="D573" s="102"/>
      <c r="E573" s="102"/>
      <c r="G573" s="103"/>
      <c r="H573" s="8"/>
    </row>
    <row r="574" ht="15.75" customHeight="1">
      <c r="D574" s="102"/>
      <c r="E574" s="102"/>
      <c r="G574" s="103"/>
      <c r="H574" s="8"/>
    </row>
    <row r="575" ht="15.75" customHeight="1">
      <c r="D575" s="102"/>
      <c r="E575" s="102"/>
      <c r="G575" s="103"/>
      <c r="H575" s="8"/>
    </row>
    <row r="576" ht="15.75" customHeight="1">
      <c r="D576" s="102"/>
      <c r="E576" s="102"/>
      <c r="G576" s="103"/>
      <c r="H576" s="8"/>
    </row>
    <row r="577" ht="15.75" customHeight="1">
      <c r="D577" s="102"/>
      <c r="E577" s="102"/>
      <c r="G577" s="103"/>
      <c r="H577" s="8"/>
    </row>
    <row r="578" ht="15.75" customHeight="1">
      <c r="D578" s="102"/>
      <c r="E578" s="102"/>
      <c r="G578" s="103"/>
      <c r="H578" s="8"/>
    </row>
    <row r="579" ht="15.75" customHeight="1">
      <c r="D579" s="102"/>
      <c r="E579" s="102"/>
      <c r="G579" s="103"/>
      <c r="H579" s="8"/>
    </row>
    <row r="580" ht="15.75" customHeight="1">
      <c r="D580" s="102"/>
      <c r="E580" s="102"/>
      <c r="G580" s="103"/>
      <c r="H580" s="8"/>
    </row>
    <row r="581" ht="15.75" customHeight="1">
      <c r="D581" s="102"/>
      <c r="E581" s="102"/>
      <c r="G581" s="103"/>
      <c r="H581" s="8"/>
    </row>
    <row r="582" ht="15.75" customHeight="1">
      <c r="D582" s="102"/>
      <c r="E582" s="102"/>
      <c r="G582" s="103"/>
      <c r="H582" s="8"/>
    </row>
    <row r="583" ht="15.75" customHeight="1">
      <c r="D583" s="102"/>
      <c r="E583" s="102"/>
      <c r="G583" s="103"/>
      <c r="H583" s="8"/>
    </row>
    <row r="584" ht="15.75" customHeight="1">
      <c r="D584" s="102"/>
      <c r="E584" s="102"/>
      <c r="G584" s="103"/>
      <c r="H584" s="8"/>
    </row>
    <row r="585" ht="15.75" customHeight="1">
      <c r="D585" s="102"/>
      <c r="E585" s="102"/>
      <c r="G585" s="103"/>
      <c r="H585" s="8"/>
    </row>
    <row r="586" ht="15.75" customHeight="1">
      <c r="D586" s="102"/>
      <c r="E586" s="102"/>
      <c r="G586" s="103"/>
      <c r="H586" s="8"/>
    </row>
    <row r="587" ht="15.75" customHeight="1">
      <c r="D587" s="102"/>
      <c r="E587" s="102"/>
      <c r="G587" s="103"/>
      <c r="H587" s="8"/>
    </row>
    <row r="588" ht="15.75" customHeight="1">
      <c r="D588" s="102"/>
      <c r="E588" s="102"/>
      <c r="G588" s="103"/>
      <c r="H588" s="8"/>
    </row>
    <row r="589" ht="15.75" customHeight="1">
      <c r="D589" s="102"/>
      <c r="E589" s="102"/>
      <c r="G589" s="103"/>
      <c r="H589" s="8"/>
    </row>
    <row r="590" ht="15.75" customHeight="1">
      <c r="D590" s="102"/>
      <c r="E590" s="102"/>
      <c r="G590" s="103"/>
      <c r="H590" s="8"/>
    </row>
    <row r="591" ht="15.75" customHeight="1">
      <c r="D591" s="102"/>
      <c r="E591" s="102"/>
      <c r="G591" s="103"/>
      <c r="H591" s="8"/>
    </row>
    <row r="592" ht="15.75" customHeight="1">
      <c r="D592" s="102"/>
      <c r="E592" s="102"/>
      <c r="G592" s="103"/>
      <c r="H592" s="8"/>
    </row>
    <row r="593" ht="15.75" customHeight="1">
      <c r="D593" s="102"/>
      <c r="E593" s="102"/>
      <c r="G593" s="103"/>
      <c r="H593" s="8"/>
    </row>
    <row r="594" ht="15.75" customHeight="1">
      <c r="D594" s="102"/>
      <c r="E594" s="102"/>
      <c r="G594" s="103"/>
      <c r="H594" s="8"/>
    </row>
    <row r="595" ht="15.75" customHeight="1">
      <c r="D595" s="102"/>
      <c r="E595" s="102"/>
      <c r="G595" s="103"/>
      <c r="H595" s="8"/>
    </row>
    <row r="596" ht="15.75" customHeight="1">
      <c r="D596" s="102"/>
      <c r="E596" s="102"/>
      <c r="G596" s="103"/>
      <c r="H596" s="8"/>
    </row>
    <row r="597" ht="15.75" customHeight="1">
      <c r="D597" s="102"/>
      <c r="E597" s="102"/>
      <c r="G597" s="103"/>
      <c r="H597" s="8"/>
    </row>
    <row r="598" ht="15.75" customHeight="1">
      <c r="D598" s="102"/>
      <c r="E598" s="102"/>
      <c r="G598" s="103"/>
      <c r="H598" s="8"/>
    </row>
    <row r="599" ht="15.75" customHeight="1">
      <c r="D599" s="102"/>
      <c r="E599" s="102"/>
      <c r="G599" s="103"/>
      <c r="H599" s="8"/>
    </row>
    <row r="600" ht="15.75" customHeight="1">
      <c r="D600" s="102"/>
      <c r="E600" s="102"/>
      <c r="G600" s="103"/>
      <c r="H600" s="8"/>
    </row>
    <row r="601" ht="15.75" customHeight="1">
      <c r="D601" s="102"/>
      <c r="E601" s="102"/>
      <c r="G601" s="103"/>
      <c r="H601" s="8"/>
    </row>
    <row r="602" ht="15.75" customHeight="1">
      <c r="D602" s="102"/>
      <c r="E602" s="102"/>
      <c r="G602" s="103"/>
      <c r="H602" s="8"/>
    </row>
    <row r="603" ht="15.75" customHeight="1">
      <c r="D603" s="102"/>
      <c r="E603" s="102"/>
      <c r="G603" s="103"/>
      <c r="H603" s="8"/>
    </row>
    <row r="604" ht="15.75" customHeight="1">
      <c r="D604" s="102"/>
      <c r="E604" s="102"/>
      <c r="G604" s="103"/>
      <c r="H604" s="8"/>
    </row>
    <row r="605" ht="15.75" customHeight="1">
      <c r="D605" s="102"/>
      <c r="E605" s="102"/>
      <c r="G605" s="103"/>
      <c r="H605" s="8"/>
    </row>
    <row r="606" ht="15.75" customHeight="1">
      <c r="D606" s="102"/>
      <c r="E606" s="102"/>
      <c r="G606" s="103"/>
      <c r="H606" s="8"/>
    </row>
    <row r="607" ht="15.75" customHeight="1">
      <c r="D607" s="102"/>
      <c r="E607" s="102"/>
      <c r="G607" s="103"/>
      <c r="H607" s="8"/>
    </row>
    <row r="608" ht="15.75" customHeight="1">
      <c r="D608" s="102"/>
      <c r="E608" s="102"/>
      <c r="G608" s="103"/>
      <c r="H608" s="8"/>
    </row>
    <row r="609" ht="15.75" customHeight="1">
      <c r="D609" s="102"/>
      <c r="E609" s="102"/>
      <c r="G609" s="103"/>
      <c r="H609" s="8"/>
    </row>
    <row r="610" ht="15.75" customHeight="1">
      <c r="D610" s="102"/>
      <c r="E610" s="102"/>
      <c r="G610" s="103"/>
      <c r="H610" s="8"/>
    </row>
    <row r="611" ht="15.75" customHeight="1">
      <c r="D611" s="102"/>
      <c r="E611" s="102"/>
      <c r="G611" s="103"/>
      <c r="H611" s="8"/>
    </row>
    <row r="612" ht="15.75" customHeight="1">
      <c r="D612" s="102"/>
      <c r="E612" s="102"/>
      <c r="G612" s="103"/>
      <c r="H612" s="8"/>
    </row>
    <row r="613" ht="15.75" customHeight="1">
      <c r="D613" s="102"/>
      <c r="E613" s="102"/>
      <c r="G613" s="103"/>
      <c r="H613" s="8"/>
    </row>
    <row r="614" ht="15.75" customHeight="1">
      <c r="D614" s="102"/>
      <c r="E614" s="102"/>
      <c r="G614" s="103"/>
      <c r="H614" s="8"/>
    </row>
    <row r="615" ht="15.75" customHeight="1">
      <c r="D615" s="102"/>
      <c r="E615" s="102"/>
      <c r="G615" s="103"/>
      <c r="H615" s="8"/>
    </row>
    <row r="616" ht="15.75" customHeight="1">
      <c r="D616" s="102"/>
      <c r="E616" s="102"/>
      <c r="G616" s="103"/>
      <c r="H616" s="8"/>
    </row>
    <row r="617" ht="15.75" customHeight="1">
      <c r="D617" s="102"/>
      <c r="E617" s="102"/>
      <c r="G617" s="103"/>
      <c r="H617" s="8"/>
    </row>
    <row r="618" ht="15.75" customHeight="1">
      <c r="D618" s="102"/>
      <c r="E618" s="102"/>
      <c r="G618" s="103"/>
      <c r="H618" s="8"/>
    </row>
    <row r="619" ht="15.75" customHeight="1">
      <c r="D619" s="102"/>
      <c r="E619" s="102"/>
      <c r="G619" s="103"/>
      <c r="H619" s="8"/>
    </row>
    <row r="620" ht="15.75" customHeight="1">
      <c r="D620" s="102"/>
      <c r="E620" s="102"/>
      <c r="G620" s="103"/>
      <c r="H620" s="8"/>
    </row>
    <row r="621" ht="15.75" customHeight="1">
      <c r="D621" s="102"/>
      <c r="E621" s="102"/>
      <c r="G621" s="103"/>
      <c r="H621" s="8"/>
    </row>
    <row r="622" ht="15.75" customHeight="1">
      <c r="D622" s="102"/>
      <c r="E622" s="102"/>
      <c r="G622" s="103"/>
      <c r="H622" s="8"/>
    </row>
    <row r="623" ht="15.75" customHeight="1">
      <c r="D623" s="102"/>
      <c r="E623" s="102"/>
      <c r="G623" s="103"/>
      <c r="H623" s="8"/>
    </row>
    <row r="624" ht="15.75" customHeight="1">
      <c r="D624" s="102"/>
      <c r="E624" s="102"/>
      <c r="G624" s="103"/>
      <c r="H624" s="8"/>
    </row>
    <row r="625" ht="15.75" customHeight="1">
      <c r="D625" s="102"/>
      <c r="E625" s="102"/>
      <c r="G625" s="103"/>
      <c r="H625" s="8"/>
    </row>
    <row r="626" ht="15.75" customHeight="1">
      <c r="D626" s="102"/>
      <c r="E626" s="102"/>
      <c r="G626" s="103"/>
      <c r="H626" s="8"/>
    </row>
    <row r="627" ht="15.75" customHeight="1">
      <c r="D627" s="102"/>
      <c r="E627" s="102"/>
      <c r="G627" s="103"/>
      <c r="H627" s="8"/>
    </row>
    <row r="628" ht="15.75" customHeight="1">
      <c r="D628" s="102"/>
      <c r="E628" s="102"/>
      <c r="G628" s="103"/>
      <c r="H628" s="8"/>
    </row>
    <row r="629" ht="15.75" customHeight="1">
      <c r="D629" s="102"/>
      <c r="E629" s="102"/>
      <c r="G629" s="103"/>
      <c r="H629" s="8"/>
    </row>
    <row r="630" ht="15.75" customHeight="1">
      <c r="D630" s="102"/>
      <c r="E630" s="102"/>
      <c r="G630" s="103"/>
      <c r="H630" s="8"/>
    </row>
    <row r="631" ht="15.75" customHeight="1">
      <c r="D631" s="102"/>
      <c r="E631" s="102"/>
      <c r="G631" s="103"/>
      <c r="H631" s="8"/>
    </row>
    <row r="632" ht="15.75" customHeight="1">
      <c r="D632" s="102"/>
      <c r="E632" s="102"/>
      <c r="G632" s="103"/>
      <c r="H632" s="8"/>
    </row>
    <row r="633" ht="15.75" customHeight="1">
      <c r="D633" s="102"/>
      <c r="E633" s="102"/>
      <c r="G633" s="103"/>
      <c r="H633" s="8"/>
    </row>
    <row r="634" ht="15.75" customHeight="1">
      <c r="D634" s="102"/>
      <c r="E634" s="102"/>
      <c r="G634" s="103"/>
      <c r="H634" s="8"/>
    </row>
    <row r="635" ht="15.75" customHeight="1">
      <c r="D635" s="102"/>
      <c r="E635" s="102"/>
      <c r="G635" s="103"/>
      <c r="H635" s="8"/>
    </row>
    <row r="636" ht="15.75" customHeight="1">
      <c r="D636" s="102"/>
      <c r="E636" s="102"/>
      <c r="G636" s="103"/>
      <c r="H636" s="8"/>
    </row>
    <row r="637" ht="15.75" customHeight="1">
      <c r="D637" s="102"/>
      <c r="E637" s="102"/>
      <c r="G637" s="103"/>
      <c r="H637" s="8"/>
    </row>
    <row r="638" ht="15.75" customHeight="1">
      <c r="D638" s="102"/>
      <c r="E638" s="102"/>
      <c r="G638" s="103"/>
      <c r="H638" s="8"/>
    </row>
    <row r="639" ht="15.75" customHeight="1">
      <c r="D639" s="102"/>
      <c r="E639" s="102"/>
      <c r="G639" s="103"/>
      <c r="H639" s="8"/>
    </row>
    <row r="640" ht="15.75" customHeight="1">
      <c r="D640" s="102"/>
      <c r="E640" s="102"/>
      <c r="G640" s="103"/>
      <c r="H640" s="8"/>
    </row>
    <row r="641" ht="15.75" customHeight="1">
      <c r="D641" s="102"/>
      <c r="E641" s="102"/>
      <c r="G641" s="103"/>
      <c r="H641" s="8"/>
    </row>
    <row r="642" ht="15.75" customHeight="1">
      <c r="D642" s="102"/>
      <c r="E642" s="102"/>
      <c r="G642" s="103"/>
      <c r="H642" s="8"/>
    </row>
    <row r="643" ht="15.75" customHeight="1">
      <c r="D643" s="102"/>
      <c r="E643" s="102"/>
      <c r="G643" s="103"/>
      <c r="H643" s="8"/>
    </row>
    <row r="644" ht="15.75" customHeight="1">
      <c r="D644" s="102"/>
      <c r="E644" s="102"/>
      <c r="G644" s="103"/>
      <c r="H644" s="8"/>
    </row>
    <row r="645" ht="15.75" customHeight="1">
      <c r="D645" s="102"/>
      <c r="E645" s="102"/>
      <c r="G645" s="103"/>
      <c r="H645" s="8"/>
    </row>
    <row r="646" ht="15.75" customHeight="1">
      <c r="D646" s="102"/>
      <c r="E646" s="102"/>
      <c r="G646" s="103"/>
      <c r="H646" s="8"/>
    </row>
    <row r="647" ht="15.75" customHeight="1">
      <c r="D647" s="102"/>
      <c r="E647" s="102"/>
      <c r="G647" s="103"/>
      <c r="H647" s="8"/>
    </row>
    <row r="648" ht="15.75" customHeight="1">
      <c r="D648" s="102"/>
      <c r="E648" s="102"/>
      <c r="G648" s="103"/>
      <c r="H648" s="8"/>
    </row>
    <row r="649" ht="15.75" customHeight="1">
      <c r="D649" s="102"/>
      <c r="E649" s="102"/>
      <c r="G649" s="103"/>
      <c r="H649" s="8"/>
    </row>
    <row r="650" ht="15.75" customHeight="1">
      <c r="D650" s="102"/>
      <c r="E650" s="102"/>
      <c r="G650" s="103"/>
      <c r="H650" s="8"/>
    </row>
    <row r="651" ht="15.75" customHeight="1">
      <c r="D651" s="102"/>
      <c r="E651" s="102"/>
      <c r="G651" s="103"/>
      <c r="H651" s="8"/>
    </row>
    <row r="652" ht="15.75" customHeight="1">
      <c r="D652" s="102"/>
      <c r="E652" s="102"/>
      <c r="G652" s="103"/>
      <c r="H652" s="8"/>
    </row>
    <row r="653" ht="15.75" customHeight="1">
      <c r="D653" s="102"/>
      <c r="E653" s="102"/>
      <c r="G653" s="103"/>
      <c r="H653" s="8"/>
    </row>
    <row r="654" ht="15.75" customHeight="1">
      <c r="D654" s="102"/>
      <c r="E654" s="102"/>
      <c r="G654" s="103"/>
      <c r="H654" s="8"/>
    </row>
    <row r="655" ht="15.75" customHeight="1">
      <c r="D655" s="102"/>
      <c r="E655" s="102"/>
      <c r="G655" s="103"/>
      <c r="H655" s="8"/>
    </row>
    <row r="656" ht="15.75" customHeight="1">
      <c r="D656" s="102"/>
      <c r="E656" s="102"/>
      <c r="G656" s="103"/>
      <c r="H656" s="8"/>
    </row>
    <row r="657" ht="15.75" customHeight="1">
      <c r="D657" s="102"/>
      <c r="E657" s="102"/>
      <c r="G657" s="103"/>
      <c r="H657" s="8"/>
    </row>
    <row r="658" ht="15.75" customHeight="1">
      <c r="D658" s="102"/>
      <c r="E658" s="102"/>
      <c r="G658" s="103"/>
      <c r="H658" s="8"/>
    </row>
    <row r="659" ht="15.75" customHeight="1">
      <c r="D659" s="102"/>
      <c r="E659" s="102"/>
      <c r="G659" s="103"/>
      <c r="H659" s="8"/>
    </row>
    <row r="660" ht="15.75" customHeight="1">
      <c r="D660" s="102"/>
      <c r="E660" s="102"/>
      <c r="G660" s="103"/>
      <c r="H660" s="8"/>
    </row>
    <row r="661" ht="15.75" customHeight="1">
      <c r="D661" s="102"/>
      <c r="E661" s="102"/>
      <c r="G661" s="103"/>
      <c r="H661" s="8"/>
    </row>
    <row r="662" ht="15.75" customHeight="1">
      <c r="D662" s="102"/>
      <c r="E662" s="102"/>
      <c r="G662" s="103"/>
      <c r="H662" s="8"/>
    </row>
    <row r="663" ht="15.75" customHeight="1">
      <c r="D663" s="102"/>
      <c r="E663" s="102"/>
      <c r="G663" s="103"/>
      <c r="H663" s="8"/>
    </row>
    <row r="664" ht="15.75" customHeight="1">
      <c r="D664" s="102"/>
      <c r="E664" s="102"/>
      <c r="G664" s="103"/>
      <c r="H664" s="8"/>
    </row>
    <row r="665" ht="15.75" customHeight="1">
      <c r="D665" s="102"/>
      <c r="E665" s="102"/>
      <c r="G665" s="103"/>
      <c r="H665" s="8"/>
    </row>
    <row r="666" ht="15.75" customHeight="1">
      <c r="D666" s="102"/>
      <c r="E666" s="102"/>
      <c r="G666" s="103"/>
      <c r="H666" s="8"/>
    </row>
    <row r="667" ht="15.75" customHeight="1">
      <c r="D667" s="102"/>
      <c r="E667" s="102"/>
      <c r="G667" s="103"/>
      <c r="H667" s="8"/>
    </row>
    <row r="668" ht="15.75" customHeight="1">
      <c r="D668" s="102"/>
      <c r="E668" s="102"/>
      <c r="G668" s="103"/>
      <c r="H668" s="8"/>
    </row>
    <row r="669" ht="15.75" customHeight="1">
      <c r="D669" s="102"/>
      <c r="E669" s="102"/>
      <c r="G669" s="103"/>
      <c r="H669" s="8"/>
    </row>
    <row r="670" ht="15.75" customHeight="1">
      <c r="D670" s="102"/>
      <c r="E670" s="102"/>
      <c r="G670" s="103"/>
      <c r="H670" s="8"/>
    </row>
    <row r="671" ht="15.75" customHeight="1">
      <c r="D671" s="102"/>
      <c r="E671" s="102"/>
      <c r="G671" s="103"/>
      <c r="H671" s="8"/>
    </row>
    <row r="672" ht="15.75" customHeight="1">
      <c r="D672" s="102"/>
      <c r="E672" s="102"/>
      <c r="G672" s="103"/>
      <c r="H672" s="8"/>
    </row>
    <row r="673" ht="15.75" customHeight="1">
      <c r="D673" s="102"/>
      <c r="E673" s="102"/>
      <c r="G673" s="103"/>
      <c r="H673" s="8"/>
    </row>
    <row r="674" ht="15.75" customHeight="1">
      <c r="D674" s="102"/>
      <c r="E674" s="102"/>
      <c r="G674" s="103"/>
      <c r="H674" s="8"/>
    </row>
    <row r="675" ht="15.75" customHeight="1">
      <c r="D675" s="102"/>
      <c r="E675" s="102"/>
      <c r="G675" s="103"/>
      <c r="H675" s="8"/>
    </row>
    <row r="676" ht="15.75" customHeight="1">
      <c r="D676" s="102"/>
      <c r="E676" s="102"/>
      <c r="G676" s="103"/>
      <c r="H676" s="8"/>
    </row>
    <row r="677" ht="15.75" customHeight="1">
      <c r="D677" s="102"/>
      <c r="E677" s="102"/>
      <c r="G677" s="103"/>
      <c r="H677" s="8"/>
    </row>
    <row r="678" ht="15.75" customHeight="1">
      <c r="D678" s="102"/>
      <c r="E678" s="102"/>
      <c r="G678" s="103"/>
      <c r="H678" s="8"/>
    </row>
    <row r="679" ht="15.75" customHeight="1">
      <c r="D679" s="102"/>
      <c r="E679" s="102"/>
      <c r="G679" s="103"/>
      <c r="H679" s="8"/>
    </row>
    <row r="680" ht="15.75" customHeight="1">
      <c r="D680" s="102"/>
      <c r="E680" s="102"/>
      <c r="G680" s="103"/>
      <c r="H680" s="8"/>
    </row>
    <row r="681" ht="15.75" customHeight="1">
      <c r="D681" s="102"/>
      <c r="E681" s="102"/>
      <c r="G681" s="103"/>
      <c r="H681" s="8"/>
    </row>
    <row r="682" ht="15.75" customHeight="1">
      <c r="D682" s="102"/>
      <c r="E682" s="102"/>
      <c r="G682" s="103"/>
      <c r="H682" s="8"/>
    </row>
    <row r="683" ht="15.75" customHeight="1">
      <c r="D683" s="102"/>
      <c r="E683" s="102"/>
      <c r="G683" s="103"/>
      <c r="H683" s="8"/>
    </row>
    <row r="684" ht="15.75" customHeight="1">
      <c r="D684" s="102"/>
      <c r="E684" s="102"/>
      <c r="G684" s="103"/>
      <c r="H684" s="8"/>
    </row>
    <row r="685" ht="15.75" customHeight="1">
      <c r="D685" s="102"/>
      <c r="E685" s="102"/>
      <c r="G685" s="103"/>
      <c r="H685" s="8"/>
    </row>
    <row r="686" ht="15.75" customHeight="1">
      <c r="D686" s="102"/>
      <c r="E686" s="102"/>
      <c r="G686" s="103"/>
      <c r="H686" s="8"/>
    </row>
    <row r="687" ht="15.75" customHeight="1">
      <c r="D687" s="102"/>
      <c r="E687" s="102"/>
      <c r="G687" s="103"/>
      <c r="H687" s="8"/>
    </row>
    <row r="688" ht="15.75" customHeight="1">
      <c r="D688" s="102"/>
      <c r="E688" s="102"/>
      <c r="G688" s="103"/>
      <c r="H688" s="8"/>
    </row>
    <row r="689" ht="15.75" customHeight="1">
      <c r="D689" s="102"/>
      <c r="E689" s="102"/>
      <c r="G689" s="103"/>
      <c r="H689" s="8"/>
    </row>
    <row r="690" ht="15.75" customHeight="1">
      <c r="D690" s="102"/>
      <c r="E690" s="102"/>
      <c r="G690" s="103"/>
      <c r="H690" s="8"/>
    </row>
    <row r="691" ht="15.75" customHeight="1">
      <c r="D691" s="102"/>
      <c r="E691" s="102"/>
      <c r="G691" s="103"/>
      <c r="H691" s="8"/>
    </row>
    <row r="692" ht="15.75" customHeight="1">
      <c r="D692" s="102"/>
      <c r="E692" s="102"/>
      <c r="G692" s="103"/>
      <c r="H692" s="8"/>
    </row>
    <row r="693" ht="15.75" customHeight="1">
      <c r="D693" s="102"/>
      <c r="E693" s="102"/>
      <c r="G693" s="103"/>
      <c r="H693" s="8"/>
    </row>
    <row r="694" ht="15.75" customHeight="1">
      <c r="D694" s="102"/>
      <c r="E694" s="102"/>
      <c r="G694" s="103"/>
      <c r="H694" s="8"/>
    </row>
    <row r="695" ht="15.75" customHeight="1">
      <c r="D695" s="102"/>
      <c r="E695" s="102"/>
      <c r="G695" s="103"/>
      <c r="H695" s="8"/>
    </row>
    <row r="696" ht="15.75" customHeight="1">
      <c r="D696" s="102"/>
      <c r="E696" s="102"/>
      <c r="G696" s="103"/>
      <c r="H696" s="8"/>
    </row>
    <row r="697" ht="15.75" customHeight="1">
      <c r="D697" s="102"/>
      <c r="E697" s="102"/>
      <c r="G697" s="103"/>
      <c r="H697" s="8"/>
    </row>
    <row r="698" ht="15.75" customHeight="1">
      <c r="D698" s="102"/>
      <c r="E698" s="102"/>
      <c r="G698" s="103"/>
      <c r="H698" s="8"/>
    </row>
    <row r="699" ht="15.75" customHeight="1">
      <c r="D699" s="102"/>
      <c r="E699" s="102"/>
      <c r="G699" s="103"/>
      <c r="H699" s="8"/>
    </row>
    <row r="700" ht="15.75" customHeight="1">
      <c r="D700" s="102"/>
      <c r="E700" s="102"/>
      <c r="G700" s="103"/>
      <c r="H700" s="8"/>
    </row>
    <row r="701" ht="15.75" customHeight="1">
      <c r="D701" s="102"/>
      <c r="E701" s="102"/>
      <c r="G701" s="103"/>
      <c r="H701" s="8"/>
    </row>
    <row r="702" ht="15.75" customHeight="1">
      <c r="D702" s="102"/>
      <c r="E702" s="102"/>
      <c r="G702" s="103"/>
      <c r="H702" s="8"/>
    </row>
    <row r="703" ht="15.75" customHeight="1">
      <c r="D703" s="102"/>
      <c r="E703" s="102"/>
      <c r="G703" s="103"/>
      <c r="H703" s="8"/>
    </row>
    <row r="704" ht="15.75" customHeight="1">
      <c r="D704" s="102"/>
      <c r="E704" s="102"/>
      <c r="G704" s="103"/>
      <c r="H704" s="8"/>
    </row>
    <row r="705" ht="15.75" customHeight="1">
      <c r="D705" s="102"/>
      <c r="E705" s="102"/>
      <c r="G705" s="103"/>
      <c r="H705" s="8"/>
    </row>
    <row r="706" ht="15.75" customHeight="1">
      <c r="D706" s="102"/>
      <c r="E706" s="102"/>
      <c r="G706" s="103"/>
      <c r="H706" s="8"/>
    </row>
    <row r="707" ht="15.75" customHeight="1">
      <c r="D707" s="102"/>
      <c r="E707" s="102"/>
      <c r="G707" s="103"/>
      <c r="H707" s="8"/>
    </row>
    <row r="708" ht="15.75" customHeight="1">
      <c r="D708" s="102"/>
      <c r="E708" s="102"/>
      <c r="G708" s="103"/>
      <c r="H708" s="8"/>
    </row>
    <row r="709" ht="15.75" customHeight="1">
      <c r="D709" s="102"/>
      <c r="E709" s="102"/>
      <c r="G709" s="103"/>
      <c r="H709" s="8"/>
    </row>
    <row r="710" ht="15.75" customHeight="1">
      <c r="D710" s="102"/>
      <c r="E710" s="102"/>
      <c r="G710" s="103"/>
      <c r="H710" s="8"/>
    </row>
    <row r="711" ht="15.75" customHeight="1">
      <c r="D711" s="102"/>
      <c r="E711" s="102"/>
      <c r="G711" s="103"/>
      <c r="H711" s="8"/>
    </row>
    <row r="712" ht="15.75" customHeight="1">
      <c r="D712" s="102"/>
      <c r="E712" s="102"/>
      <c r="G712" s="103"/>
      <c r="H712" s="8"/>
    </row>
    <row r="713" ht="15.75" customHeight="1">
      <c r="D713" s="102"/>
      <c r="E713" s="102"/>
      <c r="G713" s="103"/>
      <c r="H713" s="8"/>
    </row>
    <row r="714" ht="15.75" customHeight="1">
      <c r="D714" s="102"/>
      <c r="E714" s="102"/>
      <c r="G714" s="103"/>
      <c r="H714" s="8"/>
    </row>
    <row r="715" ht="15.75" customHeight="1">
      <c r="D715" s="102"/>
      <c r="E715" s="102"/>
      <c r="G715" s="103"/>
      <c r="H715" s="8"/>
    </row>
    <row r="716" ht="15.75" customHeight="1">
      <c r="D716" s="102"/>
      <c r="E716" s="102"/>
      <c r="G716" s="103"/>
      <c r="H716" s="8"/>
    </row>
    <row r="717" ht="15.75" customHeight="1">
      <c r="D717" s="102"/>
      <c r="E717" s="102"/>
      <c r="G717" s="103"/>
      <c r="H717" s="8"/>
    </row>
    <row r="718" ht="15.75" customHeight="1">
      <c r="D718" s="102"/>
      <c r="E718" s="102"/>
      <c r="G718" s="103"/>
      <c r="H718" s="8"/>
    </row>
    <row r="719" ht="15.75" customHeight="1">
      <c r="D719" s="102"/>
      <c r="E719" s="102"/>
      <c r="G719" s="103"/>
      <c r="H719" s="8"/>
    </row>
    <row r="720" ht="15.75" customHeight="1">
      <c r="D720" s="102"/>
      <c r="E720" s="102"/>
      <c r="G720" s="103"/>
      <c r="H720" s="8"/>
    </row>
    <row r="721" ht="15.75" customHeight="1">
      <c r="D721" s="102"/>
      <c r="E721" s="102"/>
      <c r="G721" s="103"/>
      <c r="H721" s="8"/>
    </row>
    <row r="722" ht="15.75" customHeight="1">
      <c r="D722" s="102"/>
      <c r="E722" s="102"/>
      <c r="G722" s="103"/>
      <c r="H722" s="8"/>
    </row>
    <row r="723" ht="15.75" customHeight="1">
      <c r="D723" s="102"/>
      <c r="E723" s="102"/>
      <c r="G723" s="103"/>
      <c r="H723" s="8"/>
    </row>
    <row r="724" ht="15.75" customHeight="1">
      <c r="D724" s="102"/>
      <c r="E724" s="102"/>
      <c r="G724" s="103"/>
      <c r="H724" s="8"/>
    </row>
    <row r="725" ht="15.75" customHeight="1">
      <c r="D725" s="102"/>
      <c r="E725" s="102"/>
      <c r="G725" s="103"/>
      <c r="H725" s="8"/>
    </row>
    <row r="726" ht="15.75" customHeight="1">
      <c r="D726" s="102"/>
      <c r="E726" s="102"/>
      <c r="G726" s="103"/>
      <c r="H726" s="8"/>
    </row>
    <row r="727" ht="15.75" customHeight="1">
      <c r="D727" s="102"/>
      <c r="E727" s="102"/>
      <c r="G727" s="103"/>
      <c r="H727" s="8"/>
    </row>
    <row r="728" ht="15.75" customHeight="1">
      <c r="D728" s="102"/>
      <c r="E728" s="102"/>
      <c r="G728" s="103"/>
      <c r="H728" s="8"/>
    </row>
    <row r="729" ht="15.75" customHeight="1">
      <c r="D729" s="102"/>
      <c r="E729" s="102"/>
      <c r="G729" s="103"/>
      <c r="H729" s="8"/>
    </row>
    <row r="730" ht="15.75" customHeight="1">
      <c r="D730" s="102"/>
      <c r="E730" s="102"/>
      <c r="G730" s="103"/>
      <c r="H730" s="8"/>
    </row>
    <row r="731" ht="15.75" customHeight="1">
      <c r="D731" s="102"/>
      <c r="E731" s="102"/>
      <c r="G731" s="103"/>
      <c r="H731" s="8"/>
    </row>
    <row r="732" ht="15.75" customHeight="1">
      <c r="D732" s="102"/>
      <c r="E732" s="102"/>
      <c r="G732" s="103"/>
      <c r="H732" s="8"/>
    </row>
    <row r="733" ht="15.75" customHeight="1">
      <c r="D733" s="102"/>
      <c r="E733" s="102"/>
      <c r="G733" s="103"/>
      <c r="H733" s="8"/>
    </row>
    <row r="734" ht="15.75" customHeight="1">
      <c r="D734" s="102"/>
      <c r="E734" s="102"/>
      <c r="G734" s="103"/>
      <c r="H734" s="8"/>
    </row>
    <row r="735" ht="15.75" customHeight="1">
      <c r="D735" s="102"/>
      <c r="E735" s="102"/>
      <c r="G735" s="103"/>
      <c r="H735" s="8"/>
    </row>
    <row r="736" ht="15.75" customHeight="1">
      <c r="D736" s="102"/>
      <c r="E736" s="102"/>
      <c r="G736" s="103"/>
      <c r="H736" s="8"/>
    </row>
    <row r="737" ht="15.75" customHeight="1">
      <c r="D737" s="102"/>
      <c r="E737" s="102"/>
      <c r="G737" s="103"/>
      <c r="H737" s="8"/>
    </row>
    <row r="738" ht="15.75" customHeight="1">
      <c r="D738" s="102"/>
      <c r="E738" s="102"/>
      <c r="G738" s="103"/>
      <c r="H738" s="8"/>
    </row>
    <row r="739" ht="15.75" customHeight="1">
      <c r="D739" s="102"/>
      <c r="E739" s="102"/>
      <c r="G739" s="103"/>
      <c r="H739" s="8"/>
    </row>
    <row r="740" ht="15.75" customHeight="1">
      <c r="D740" s="102"/>
      <c r="E740" s="102"/>
      <c r="G740" s="103"/>
      <c r="H740" s="8"/>
    </row>
    <row r="741" ht="15.75" customHeight="1">
      <c r="D741" s="102"/>
      <c r="E741" s="102"/>
      <c r="G741" s="103"/>
      <c r="H741" s="8"/>
    </row>
    <row r="742" ht="15.75" customHeight="1">
      <c r="D742" s="102"/>
      <c r="E742" s="102"/>
      <c r="G742" s="103"/>
      <c r="H742" s="8"/>
    </row>
    <row r="743" ht="15.75" customHeight="1">
      <c r="D743" s="102"/>
      <c r="E743" s="102"/>
      <c r="G743" s="103"/>
      <c r="H743" s="8"/>
    </row>
    <row r="744" ht="15.75" customHeight="1">
      <c r="D744" s="102"/>
      <c r="E744" s="102"/>
      <c r="G744" s="103"/>
      <c r="H744" s="8"/>
    </row>
    <row r="745" ht="15.75" customHeight="1">
      <c r="D745" s="102"/>
      <c r="E745" s="102"/>
      <c r="G745" s="103"/>
      <c r="H745" s="8"/>
    </row>
    <row r="746" ht="15.75" customHeight="1">
      <c r="D746" s="102"/>
      <c r="E746" s="102"/>
      <c r="G746" s="103"/>
      <c r="H746" s="8"/>
    </row>
    <row r="747" ht="15.75" customHeight="1">
      <c r="D747" s="102"/>
      <c r="E747" s="102"/>
      <c r="G747" s="103"/>
      <c r="H747" s="8"/>
    </row>
    <row r="748" ht="15.75" customHeight="1">
      <c r="D748" s="102"/>
      <c r="E748" s="102"/>
      <c r="G748" s="103"/>
      <c r="H748" s="8"/>
    </row>
    <row r="749" ht="15.75" customHeight="1">
      <c r="D749" s="102"/>
      <c r="E749" s="102"/>
      <c r="G749" s="103"/>
      <c r="H749" s="8"/>
    </row>
    <row r="750" ht="15.75" customHeight="1">
      <c r="D750" s="102"/>
      <c r="E750" s="102"/>
      <c r="G750" s="103"/>
      <c r="H750" s="8"/>
    </row>
    <row r="751" ht="15.75" customHeight="1">
      <c r="D751" s="102"/>
      <c r="E751" s="102"/>
      <c r="G751" s="103"/>
      <c r="H751" s="8"/>
    </row>
    <row r="752" ht="15.75" customHeight="1">
      <c r="D752" s="102"/>
      <c r="E752" s="102"/>
      <c r="G752" s="103"/>
      <c r="H752" s="8"/>
    </row>
    <row r="753" ht="15.75" customHeight="1">
      <c r="D753" s="102"/>
      <c r="E753" s="102"/>
      <c r="G753" s="103"/>
      <c r="H753" s="8"/>
    </row>
    <row r="754" ht="15.75" customHeight="1">
      <c r="D754" s="102"/>
      <c r="E754" s="102"/>
      <c r="G754" s="103"/>
      <c r="H754" s="8"/>
    </row>
    <row r="755" ht="15.75" customHeight="1">
      <c r="D755" s="102"/>
      <c r="E755" s="102"/>
      <c r="G755" s="103"/>
      <c r="H755" s="8"/>
    </row>
    <row r="756" ht="15.75" customHeight="1">
      <c r="D756" s="102"/>
      <c r="E756" s="102"/>
      <c r="G756" s="103"/>
      <c r="H756" s="8"/>
    </row>
    <row r="757" ht="15.75" customHeight="1">
      <c r="D757" s="102"/>
      <c r="E757" s="102"/>
      <c r="G757" s="103"/>
      <c r="H757" s="8"/>
    </row>
    <row r="758" ht="15.75" customHeight="1">
      <c r="D758" s="102"/>
      <c r="E758" s="102"/>
      <c r="G758" s="103"/>
      <c r="H758" s="8"/>
    </row>
    <row r="759" ht="15.75" customHeight="1">
      <c r="D759" s="102"/>
      <c r="E759" s="102"/>
      <c r="G759" s="103"/>
      <c r="H759" s="8"/>
    </row>
    <row r="760" ht="15.75" customHeight="1">
      <c r="D760" s="102"/>
      <c r="E760" s="102"/>
      <c r="G760" s="103"/>
      <c r="H760" s="8"/>
    </row>
    <row r="761" ht="15.75" customHeight="1">
      <c r="D761" s="102"/>
      <c r="E761" s="102"/>
      <c r="G761" s="103"/>
      <c r="H761" s="8"/>
    </row>
    <row r="762" ht="15.75" customHeight="1">
      <c r="D762" s="102"/>
      <c r="E762" s="102"/>
      <c r="G762" s="103"/>
      <c r="H762" s="8"/>
    </row>
    <row r="763" ht="15.75" customHeight="1">
      <c r="D763" s="102"/>
      <c r="E763" s="102"/>
      <c r="G763" s="103"/>
      <c r="H763" s="8"/>
    </row>
    <row r="764" ht="15.75" customHeight="1">
      <c r="D764" s="102"/>
      <c r="E764" s="102"/>
      <c r="G764" s="103"/>
      <c r="H764" s="8"/>
    </row>
    <row r="765" ht="15.75" customHeight="1">
      <c r="D765" s="102"/>
      <c r="E765" s="102"/>
      <c r="G765" s="103"/>
      <c r="H765" s="8"/>
    </row>
    <row r="766" ht="15.75" customHeight="1">
      <c r="D766" s="102"/>
      <c r="E766" s="102"/>
      <c r="G766" s="103"/>
      <c r="H766" s="8"/>
    </row>
    <row r="767" ht="15.75" customHeight="1">
      <c r="D767" s="102"/>
      <c r="E767" s="102"/>
      <c r="G767" s="103"/>
      <c r="H767" s="8"/>
    </row>
    <row r="768" ht="15.75" customHeight="1">
      <c r="D768" s="102"/>
      <c r="E768" s="102"/>
      <c r="G768" s="103"/>
      <c r="H768" s="8"/>
    </row>
    <row r="769" ht="15.75" customHeight="1">
      <c r="D769" s="102"/>
      <c r="E769" s="102"/>
      <c r="G769" s="103"/>
      <c r="H769" s="8"/>
    </row>
    <row r="770" ht="15.75" customHeight="1">
      <c r="D770" s="102"/>
      <c r="E770" s="102"/>
      <c r="G770" s="103"/>
      <c r="H770" s="8"/>
    </row>
    <row r="771" ht="15.75" customHeight="1">
      <c r="D771" s="102"/>
      <c r="E771" s="102"/>
      <c r="G771" s="103"/>
      <c r="H771" s="8"/>
    </row>
    <row r="772" ht="15.75" customHeight="1">
      <c r="D772" s="102"/>
      <c r="E772" s="102"/>
      <c r="G772" s="103"/>
      <c r="H772" s="8"/>
    </row>
    <row r="773" ht="15.75" customHeight="1">
      <c r="D773" s="102"/>
      <c r="E773" s="102"/>
      <c r="G773" s="103"/>
      <c r="H773" s="8"/>
    </row>
    <row r="774" ht="15.75" customHeight="1">
      <c r="D774" s="102"/>
      <c r="E774" s="102"/>
      <c r="G774" s="103"/>
      <c r="H774" s="8"/>
    </row>
    <row r="775" ht="15.75" customHeight="1">
      <c r="D775" s="102"/>
      <c r="E775" s="102"/>
      <c r="G775" s="103"/>
      <c r="H775" s="8"/>
    </row>
    <row r="776" ht="15.75" customHeight="1">
      <c r="D776" s="102"/>
      <c r="E776" s="102"/>
      <c r="G776" s="103"/>
      <c r="H776" s="8"/>
    </row>
    <row r="777" ht="15.75" customHeight="1">
      <c r="D777" s="102"/>
      <c r="E777" s="102"/>
      <c r="G777" s="103"/>
      <c r="H777" s="8"/>
    </row>
    <row r="778" ht="15.75" customHeight="1">
      <c r="D778" s="102"/>
      <c r="E778" s="102"/>
      <c r="G778" s="103"/>
      <c r="H778" s="8"/>
    </row>
    <row r="779" ht="15.75" customHeight="1">
      <c r="D779" s="102"/>
      <c r="E779" s="102"/>
      <c r="G779" s="103"/>
      <c r="H779" s="8"/>
    </row>
    <row r="780" ht="15.75" customHeight="1">
      <c r="D780" s="102"/>
      <c r="E780" s="102"/>
      <c r="G780" s="103"/>
      <c r="H780" s="8"/>
    </row>
    <row r="781" ht="15.75" customHeight="1">
      <c r="D781" s="102"/>
      <c r="E781" s="102"/>
      <c r="G781" s="103"/>
      <c r="H781" s="8"/>
    </row>
    <row r="782" ht="15.75" customHeight="1">
      <c r="D782" s="102"/>
      <c r="E782" s="102"/>
      <c r="G782" s="103"/>
      <c r="H782" s="8"/>
    </row>
    <row r="783" ht="15.75" customHeight="1">
      <c r="D783" s="102"/>
      <c r="E783" s="102"/>
      <c r="G783" s="103"/>
      <c r="H783" s="8"/>
    </row>
    <row r="784" ht="15.75" customHeight="1">
      <c r="D784" s="102"/>
      <c r="E784" s="102"/>
      <c r="G784" s="103"/>
      <c r="H784" s="8"/>
    </row>
    <row r="785" ht="15.75" customHeight="1">
      <c r="D785" s="102"/>
      <c r="E785" s="102"/>
      <c r="G785" s="103"/>
      <c r="H785" s="8"/>
    </row>
    <row r="786" ht="15.75" customHeight="1">
      <c r="D786" s="102"/>
      <c r="E786" s="102"/>
      <c r="G786" s="103"/>
      <c r="H786" s="8"/>
    </row>
    <row r="787" ht="15.75" customHeight="1">
      <c r="D787" s="102"/>
      <c r="E787" s="102"/>
      <c r="G787" s="103"/>
      <c r="H787" s="8"/>
    </row>
    <row r="788" ht="15.75" customHeight="1">
      <c r="D788" s="102"/>
      <c r="E788" s="102"/>
      <c r="G788" s="103"/>
      <c r="H788" s="8"/>
    </row>
    <row r="789" ht="15.75" customHeight="1">
      <c r="D789" s="102"/>
      <c r="E789" s="102"/>
      <c r="G789" s="103"/>
      <c r="H789" s="8"/>
    </row>
    <row r="790" ht="15.75" customHeight="1">
      <c r="D790" s="102"/>
      <c r="E790" s="102"/>
      <c r="G790" s="103"/>
      <c r="H790" s="8"/>
    </row>
    <row r="791" ht="15.75" customHeight="1">
      <c r="D791" s="102"/>
      <c r="E791" s="102"/>
      <c r="G791" s="103"/>
      <c r="H791" s="8"/>
    </row>
    <row r="792" ht="15.75" customHeight="1">
      <c r="D792" s="102"/>
      <c r="E792" s="102"/>
      <c r="G792" s="103"/>
      <c r="H792" s="8"/>
    </row>
    <row r="793" ht="15.75" customHeight="1">
      <c r="D793" s="102"/>
      <c r="E793" s="102"/>
      <c r="G793" s="103"/>
      <c r="H793" s="8"/>
    </row>
    <row r="794" ht="15.75" customHeight="1">
      <c r="D794" s="102"/>
      <c r="E794" s="102"/>
      <c r="G794" s="103"/>
      <c r="H794" s="8"/>
    </row>
    <row r="795" ht="15.75" customHeight="1">
      <c r="D795" s="102"/>
      <c r="E795" s="102"/>
      <c r="G795" s="103"/>
      <c r="H795" s="8"/>
    </row>
    <row r="796" ht="15.75" customHeight="1">
      <c r="D796" s="102"/>
      <c r="E796" s="102"/>
      <c r="G796" s="103"/>
      <c r="H796" s="8"/>
    </row>
    <row r="797" ht="15.75" customHeight="1">
      <c r="D797" s="102"/>
      <c r="E797" s="102"/>
      <c r="G797" s="103"/>
      <c r="H797" s="8"/>
    </row>
    <row r="798" ht="15.75" customHeight="1">
      <c r="D798" s="102"/>
      <c r="E798" s="102"/>
      <c r="G798" s="103"/>
      <c r="H798" s="8"/>
    </row>
    <row r="799" ht="15.75" customHeight="1">
      <c r="D799" s="102"/>
      <c r="E799" s="102"/>
      <c r="G799" s="103"/>
      <c r="H799" s="8"/>
    </row>
    <row r="800" ht="15.75" customHeight="1">
      <c r="D800" s="102"/>
      <c r="E800" s="102"/>
      <c r="G800" s="103"/>
      <c r="H800" s="8"/>
    </row>
    <row r="801" ht="15.75" customHeight="1">
      <c r="D801" s="102"/>
      <c r="E801" s="102"/>
      <c r="G801" s="103"/>
      <c r="H801" s="8"/>
    </row>
    <row r="802" ht="15.75" customHeight="1">
      <c r="D802" s="102"/>
      <c r="E802" s="102"/>
      <c r="G802" s="103"/>
      <c r="H802" s="8"/>
    </row>
    <row r="803" ht="15.75" customHeight="1">
      <c r="D803" s="102"/>
      <c r="E803" s="102"/>
      <c r="G803" s="103"/>
      <c r="H803" s="8"/>
    </row>
    <row r="804" ht="15.75" customHeight="1">
      <c r="D804" s="102"/>
      <c r="E804" s="102"/>
      <c r="G804" s="103"/>
      <c r="H804" s="8"/>
    </row>
    <row r="805" ht="15.75" customHeight="1">
      <c r="D805" s="102"/>
      <c r="E805" s="102"/>
      <c r="G805" s="103"/>
      <c r="H805" s="8"/>
    </row>
    <row r="806" ht="15.75" customHeight="1">
      <c r="D806" s="102"/>
      <c r="E806" s="102"/>
      <c r="G806" s="103"/>
      <c r="H806" s="8"/>
    </row>
    <row r="807" ht="15.75" customHeight="1">
      <c r="D807" s="102"/>
      <c r="E807" s="102"/>
      <c r="G807" s="103"/>
      <c r="H807" s="8"/>
    </row>
    <row r="808" ht="15.75" customHeight="1">
      <c r="D808" s="102"/>
      <c r="E808" s="102"/>
      <c r="G808" s="103"/>
      <c r="H808" s="8"/>
    </row>
    <row r="809" ht="15.75" customHeight="1">
      <c r="D809" s="102"/>
      <c r="E809" s="102"/>
      <c r="G809" s="103"/>
      <c r="H809" s="8"/>
    </row>
    <row r="810" ht="15.75" customHeight="1">
      <c r="D810" s="102"/>
      <c r="E810" s="102"/>
      <c r="G810" s="103"/>
      <c r="H810" s="8"/>
    </row>
    <row r="811" ht="15.75" customHeight="1">
      <c r="D811" s="102"/>
      <c r="E811" s="102"/>
      <c r="G811" s="103"/>
      <c r="H811" s="8"/>
    </row>
    <row r="812" ht="15.75" customHeight="1">
      <c r="D812" s="102"/>
      <c r="E812" s="102"/>
      <c r="G812" s="103"/>
      <c r="H812" s="8"/>
    </row>
    <row r="813" ht="15.75" customHeight="1">
      <c r="D813" s="102"/>
      <c r="E813" s="102"/>
      <c r="G813" s="103"/>
      <c r="H813" s="8"/>
    </row>
    <row r="814" ht="15.75" customHeight="1">
      <c r="D814" s="102"/>
      <c r="E814" s="102"/>
      <c r="G814" s="103"/>
      <c r="H814" s="8"/>
    </row>
    <row r="815" ht="15.75" customHeight="1">
      <c r="D815" s="102"/>
      <c r="E815" s="102"/>
      <c r="G815" s="103"/>
      <c r="H815" s="8"/>
    </row>
    <row r="816" ht="15.75" customHeight="1">
      <c r="D816" s="102"/>
      <c r="E816" s="102"/>
      <c r="G816" s="103"/>
      <c r="H816" s="8"/>
    </row>
    <row r="817" ht="15.75" customHeight="1">
      <c r="D817" s="102"/>
      <c r="E817" s="102"/>
      <c r="G817" s="103"/>
      <c r="H817" s="8"/>
    </row>
    <row r="818" ht="15.75" customHeight="1">
      <c r="D818" s="102"/>
      <c r="E818" s="102"/>
      <c r="G818" s="103"/>
      <c r="H818" s="8"/>
    </row>
    <row r="819" ht="15.75" customHeight="1">
      <c r="D819" s="102"/>
      <c r="E819" s="102"/>
      <c r="G819" s="103"/>
      <c r="H819" s="8"/>
    </row>
    <row r="820" ht="15.75" customHeight="1">
      <c r="D820" s="102"/>
      <c r="E820" s="102"/>
      <c r="G820" s="103"/>
      <c r="H820" s="8"/>
    </row>
    <row r="821" ht="15.75" customHeight="1">
      <c r="D821" s="102"/>
      <c r="E821" s="102"/>
      <c r="G821" s="103"/>
      <c r="H821" s="8"/>
    </row>
    <row r="822" ht="15.75" customHeight="1">
      <c r="D822" s="102"/>
      <c r="E822" s="102"/>
      <c r="G822" s="103"/>
      <c r="H822" s="8"/>
    </row>
    <row r="823" ht="15.75" customHeight="1">
      <c r="D823" s="102"/>
      <c r="E823" s="102"/>
      <c r="G823" s="103"/>
      <c r="H823" s="8"/>
    </row>
    <row r="824" ht="15.75" customHeight="1">
      <c r="D824" s="102"/>
      <c r="E824" s="102"/>
      <c r="G824" s="103"/>
      <c r="H824" s="8"/>
    </row>
    <row r="825" ht="15.75" customHeight="1">
      <c r="D825" s="102"/>
      <c r="E825" s="102"/>
      <c r="G825" s="103"/>
      <c r="H825" s="8"/>
    </row>
    <row r="826" ht="15.75" customHeight="1">
      <c r="D826" s="102"/>
      <c r="E826" s="102"/>
      <c r="G826" s="103"/>
      <c r="H826" s="8"/>
    </row>
    <row r="827" ht="15.75" customHeight="1">
      <c r="D827" s="102"/>
      <c r="E827" s="102"/>
      <c r="G827" s="103"/>
      <c r="H827" s="8"/>
    </row>
    <row r="828" ht="15.75" customHeight="1">
      <c r="D828" s="102"/>
      <c r="E828" s="102"/>
      <c r="G828" s="103"/>
      <c r="H828" s="8"/>
    </row>
    <row r="829" ht="15.75" customHeight="1">
      <c r="D829" s="102"/>
      <c r="E829" s="102"/>
      <c r="G829" s="103"/>
      <c r="H829" s="8"/>
    </row>
    <row r="830" ht="15.75" customHeight="1">
      <c r="D830" s="102"/>
      <c r="E830" s="102"/>
      <c r="G830" s="103"/>
      <c r="H830" s="8"/>
    </row>
    <row r="831" ht="15.75" customHeight="1">
      <c r="D831" s="102"/>
      <c r="E831" s="102"/>
      <c r="G831" s="103"/>
      <c r="H831" s="8"/>
    </row>
    <row r="832" ht="15.75" customHeight="1">
      <c r="D832" s="102"/>
      <c r="E832" s="102"/>
      <c r="G832" s="103"/>
      <c r="H832" s="8"/>
    </row>
    <row r="833" ht="15.75" customHeight="1">
      <c r="D833" s="102"/>
      <c r="E833" s="102"/>
      <c r="G833" s="103"/>
      <c r="H833" s="8"/>
    </row>
    <row r="834" ht="15.75" customHeight="1">
      <c r="D834" s="102"/>
      <c r="E834" s="102"/>
      <c r="G834" s="103"/>
      <c r="H834" s="8"/>
    </row>
    <row r="835" ht="15.75" customHeight="1">
      <c r="D835" s="102"/>
      <c r="E835" s="102"/>
      <c r="G835" s="103"/>
      <c r="H835" s="8"/>
    </row>
    <row r="836" ht="15.75" customHeight="1">
      <c r="D836" s="102"/>
      <c r="E836" s="102"/>
      <c r="G836" s="103"/>
      <c r="H836" s="8"/>
    </row>
    <row r="837" ht="15.75" customHeight="1">
      <c r="D837" s="102"/>
      <c r="E837" s="102"/>
      <c r="G837" s="103"/>
      <c r="H837" s="8"/>
    </row>
    <row r="838" ht="15.75" customHeight="1">
      <c r="D838" s="102"/>
      <c r="E838" s="102"/>
      <c r="G838" s="103"/>
      <c r="H838" s="8"/>
    </row>
    <row r="839" ht="15.75" customHeight="1">
      <c r="D839" s="102"/>
      <c r="E839" s="102"/>
      <c r="G839" s="103"/>
      <c r="H839" s="8"/>
    </row>
    <row r="840" ht="15.75" customHeight="1">
      <c r="D840" s="102"/>
      <c r="E840" s="102"/>
      <c r="G840" s="103"/>
      <c r="H840" s="8"/>
    </row>
    <row r="841" ht="15.75" customHeight="1">
      <c r="D841" s="102"/>
      <c r="E841" s="102"/>
      <c r="G841" s="103"/>
      <c r="H841" s="8"/>
    </row>
    <row r="842" ht="15.75" customHeight="1">
      <c r="D842" s="102"/>
      <c r="E842" s="102"/>
      <c r="G842" s="103"/>
      <c r="H842" s="8"/>
    </row>
    <row r="843" ht="15.75" customHeight="1">
      <c r="D843" s="102"/>
      <c r="E843" s="102"/>
      <c r="G843" s="103"/>
      <c r="H843" s="8"/>
    </row>
    <row r="844" ht="15.75" customHeight="1">
      <c r="D844" s="102"/>
      <c r="E844" s="102"/>
      <c r="G844" s="103"/>
      <c r="H844" s="8"/>
    </row>
    <row r="845" ht="15.75" customHeight="1">
      <c r="D845" s="102"/>
      <c r="E845" s="102"/>
      <c r="G845" s="103"/>
      <c r="H845" s="8"/>
    </row>
    <row r="846" ht="15.75" customHeight="1">
      <c r="D846" s="102"/>
      <c r="E846" s="102"/>
      <c r="G846" s="103"/>
      <c r="H846" s="8"/>
    </row>
    <row r="847" ht="15.75" customHeight="1">
      <c r="D847" s="102"/>
      <c r="E847" s="102"/>
      <c r="G847" s="103"/>
      <c r="H847" s="8"/>
    </row>
    <row r="848" ht="15.75" customHeight="1">
      <c r="D848" s="102"/>
      <c r="E848" s="102"/>
      <c r="G848" s="103"/>
      <c r="H848" s="8"/>
    </row>
    <row r="849" ht="15.75" customHeight="1">
      <c r="D849" s="102"/>
      <c r="E849" s="102"/>
      <c r="G849" s="103"/>
      <c r="H849" s="8"/>
    </row>
    <row r="850" ht="15.75" customHeight="1">
      <c r="D850" s="102"/>
      <c r="E850" s="102"/>
      <c r="G850" s="103"/>
      <c r="H850" s="8"/>
    </row>
    <row r="851" ht="15.75" customHeight="1">
      <c r="D851" s="102"/>
      <c r="E851" s="102"/>
      <c r="G851" s="103"/>
      <c r="H851" s="8"/>
    </row>
    <row r="852" ht="15.75" customHeight="1">
      <c r="D852" s="102"/>
      <c r="E852" s="102"/>
      <c r="G852" s="103"/>
      <c r="H852" s="8"/>
    </row>
    <row r="853" ht="15.75" customHeight="1">
      <c r="D853" s="102"/>
      <c r="E853" s="102"/>
      <c r="G853" s="103"/>
      <c r="H853" s="8"/>
    </row>
    <row r="854" ht="15.75" customHeight="1">
      <c r="D854" s="102"/>
      <c r="E854" s="102"/>
      <c r="G854" s="103"/>
      <c r="H854" s="8"/>
    </row>
    <row r="855" ht="15.75" customHeight="1">
      <c r="D855" s="102"/>
      <c r="E855" s="102"/>
      <c r="G855" s="103"/>
      <c r="H855" s="8"/>
    </row>
    <row r="856" ht="15.75" customHeight="1">
      <c r="D856" s="102"/>
      <c r="E856" s="102"/>
      <c r="G856" s="103"/>
      <c r="H856" s="8"/>
    </row>
    <row r="857" ht="15.75" customHeight="1">
      <c r="D857" s="102"/>
      <c r="E857" s="102"/>
      <c r="G857" s="103"/>
      <c r="H857" s="8"/>
    </row>
    <row r="858" ht="15.75" customHeight="1">
      <c r="D858" s="102"/>
      <c r="E858" s="102"/>
      <c r="G858" s="103"/>
      <c r="H858" s="8"/>
    </row>
    <row r="859" ht="15.75" customHeight="1">
      <c r="D859" s="102"/>
      <c r="E859" s="102"/>
      <c r="G859" s="103"/>
      <c r="H859" s="8"/>
    </row>
    <row r="860" ht="15.75" customHeight="1">
      <c r="D860" s="102"/>
      <c r="E860" s="102"/>
      <c r="G860" s="103"/>
      <c r="H860" s="8"/>
    </row>
    <row r="861" ht="15.75" customHeight="1">
      <c r="D861" s="102"/>
      <c r="E861" s="102"/>
      <c r="G861" s="103"/>
      <c r="H861" s="8"/>
    </row>
    <row r="862" ht="15.75" customHeight="1">
      <c r="D862" s="102"/>
      <c r="E862" s="102"/>
      <c r="G862" s="103"/>
      <c r="H862" s="8"/>
    </row>
    <row r="863" ht="15.75" customHeight="1">
      <c r="D863" s="102"/>
      <c r="E863" s="102"/>
      <c r="G863" s="103"/>
      <c r="H863" s="8"/>
    </row>
    <row r="864" ht="15.75" customHeight="1">
      <c r="D864" s="102"/>
      <c r="E864" s="102"/>
      <c r="G864" s="103"/>
      <c r="H864" s="8"/>
    </row>
    <row r="865" ht="15.75" customHeight="1">
      <c r="D865" s="102"/>
      <c r="E865" s="102"/>
      <c r="G865" s="103"/>
      <c r="H865" s="8"/>
    </row>
    <row r="866" ht="15.75" customHeight="1">
      <c r="D866" s="102"/>
      <c r="E866" s="102"/>
      <c r="G866" s="103"/>
      <c r="H866" s="8"/>
    </row>
    <row r="867" ht="15.75" customHeight="1">
      <c r="D867" s="102"/>
      <c r="E867" s="102"/>
      <c r="G867" s="103"/>
      <c r="H867" s="8"/>
    </row>
    <row r="868" ht="15.75" customHeight="1">
      <c r="D868" s="102"/>
      <c r="E868" s="102"/>
      <c r="G868" s="103"/>
      <c r="H868" s="8"/>
    </row>
    <row r="869" ht="15.75" customHeight="1">
      <c r="D869" s="102"/>
      <c r="E869" s="102"/>
      <c r="G869" s="103"/>
      <c r="H869" s="8"/>
    </row>
    <row r="870" ht="15.75" customHeight="1">
      <c r="D870" s="102"/>
      <c r="E870" s="102"/>
      <c r="G870" s="103"/>
      <c r="H870" s="8"/>
    </row>
    <row r="871" ht="15.75" customHeight="1">
      <c r="D871" s="102"/>
      <c r="E871" s="102"/>
      <c r="G871" s="103"/>
      <c r="H871" s="8"/>
    </row>
    <row r="872" ht="15.75" customHeight="1">
      <c r="D872" s="102"/>
      <c r="E872" s="102"/>
      <c r="G872" s="103"/>
      <c r="H872" s="8"/>
    </row>
    <row r="873" ht="15.75" customHeight="1">
      <c r="D873" s="102"/>
      <c r="E873" s="102"/>
      <c r="G873" s="103"/>
      <c r="H873" s="8"/>
    </row>
    <row r="874" ht="15.75" customHeight="1">
      <c r="D874" s="102"/>
      <c r="E874" s="102"/>
      <c r="G874" s="103"/>
      <c r="H874" s="8"/>
    </row>
    <row r="875" ht="15.75" customHeight="1">
      <c r="D875" s="102"/>
      <c r="E875" s="102"/>
      <c r="G875" s="103"/>
      <c r="H875" s="8"/>
    </row>
    <row r="876" ht="15.75" customHeight="1">
      <c r="D876" s="102"/>
      <c r="E876" s="102"/>
      <c r="G876" s="103"/>
      <c r="H876" s="8"/>
    </row>
    <row r="877" ht="15.75" customHeight="1">
      <c r="D877" s="102"/>
      <c r="E877" s="102"/>
      <c r="G877" s="103"/>
      <c r="H877" s="8"/>
    </row>
    <row r="878" ht="15.75" customHeight="1">
      <c r="D878" s="102"/>
      <c r="E878" s="102"/>
      <c r="G878" s="103"/>
      <c r="H878" s="8"/>
    </row>
    <row r="879" ht="15.75" customHeight="1">
      <c r="D879" s="102"/>
      <c r="E879" s="102"/>
      <c r="G879" s="103"/>
      <c r="H879" s="8"/>
    </row>
    <row r="880" ht="15.75" customHeight="1">
      <c r="D880" s="102"/>
      <c r="E880" s="102"/>
      <c r="G880" s="103"/>
      <c r="H880" s="8"/>
    </row>
    <row r="881" ht="15.75" customHeight="1">
      <c r="D881" s="102"/>
      <c r="E881" s="102"/>
      <c r="G881" s="103"/>
      <c r="H881" s="8"/>
    </row>
    <row r="882" ht="15.75" customHeight="1">
      <c r="D882" s="102"/>
      <c r="E882" s="102"/>
      <c r="G882" s="103"/>
      <c r="H882" s="8"/>
    </row>
    <row r="883" ht="15.75" customHeight="1">
      <c r="D883" s="102"/>
      <c r="E883" s="102"/>
      <c r="G883" s="103"/>
      <c r="H883" s="8"/>
    </row>
    <row r="884" ht="15.75" customHeight="1">
      <c r="D884" s="102"/>
      <c r="E884" s="102"/>
      <c r="G884" s="103"/>
      <c r="H884" s="8"/>
    </row>
    <row r="885" ht="15.75" customHeight="1">
      <c r="D885" s="102"/>
      <c r="E885" s="102"/>
      <c r="G885" s="103"/>
      <c r="H885" s="8"/>
    </row>
    <row r="886" ht="15.75" customHeight="1">
      <c r="D886" s="102"/>
      <c r="E886" s="102"/>
      <c r="G886" s="103"/>
      <c r="H886" s="8"/>
    </row>
    <row r="887" ht="15.75" customHeight="1">
      <c r="D887" s="102"/>
      <c r="E887" s="102"/>
      <c r="G887" s="103"/>
      <c r="H887" s="8"/>
    </row>
    <row r="888" ht="15.75" customHeight="1">
      <c r="D888" s="102"/>
      <c r="E888" s="102"/>
      <c r="G888" s="103"/>
      <c r="H888" s="8"/>
    </row>
    <row r="889" ht="15.75" customHeight="1">
      <c r="D889" s="102"/>
      <c r="E889" s="102"/>
      <c r="G889" s="103"/>
      <c r="H889" s="8"/>
    </row>
    <row r="890" ht="15.75" customHeight="1">
      <c r="D890" s="102"/>
      <c r="E890" s="102"/>
      <c r="G890" s="103"/>
      <c r="H890" s="8"/>
    </row>
    <row r="891" ht="15.75" customHeight="1">
      <c r="D891" s="102"/>
      <c r="E891" s="102"/>
      <c r="G891" s="103"/>
      <c r="H891" s="8"/>
    </row>
    <row r="892" ht="15.75" customHeight="1">
      <c r="D892" s="102"/>
      <c r="E892" s="102"/>
      <c r="G892" s="103"/>
      <c r="H892" s="8"/>
    </row>
    <row r="893" ht="15.75" customHeight="1">
      <c r="D893" s="102"/>
      <c r="E893" s="102"/>
      <c r="G893" s="103"/>
      <c r="H893" s="8"/>
    </row>
    <row r="894" ht="15.75" customHeight="1">
      <c r="D894" s="102"/>
      <c r="E894" s="102"/>
      <c r="G894" s="103"/>
      <c r="H894" s="8"/>
    </row>
    <row r="895" ht="15.75" customHeight="1">
      <c r="D895" s="102"/>
      <c r="E895" s="102"/>
      <c r="G895" s="103"/>
      <c r="H895" s="8"/>
    </row>
    <row r="896" ht="15.75" customHeight="1">
      <c r="D896" s="102"/>
      <c r="E896" s="102"/>
      <c r="G896" s="103"/>
      <c r="H896" s="8"/>
    </row>
    <row r="897" ht="15.75" customHeight="1">
      <c r="D897" s="102"/>
      <c r="E897" s="102"/>
      <c r="G897" s="103"/>
      <c r="H897" s="8"/>
    </row>
    <row r="898" ht="15.75" customHeight="1">
      <c r="D898" s="102"/>
      <c r="E898" s="102"/>
      <c r="G898" s="103"/>
      <c r="H898" s="8"/>
    </row>
    <row r="899" ht="15.75" customHeight="1">
      <c r="D899" s="102"/>
      <c r="E899" s="102"/>
      <c r="G899" s="103"/>
      <c r="H899" s="8"/>
    </row>
    <row r="900" ht="15.75" customHeight="1">
      <c r="D900" s="102"/>
      <c r="E900" s="102"/>
      <c r="G900" s="103"/>
      <c r="H900" s="8"/>
    </row>
    <row r="901" ht="15.75" customHeight="1">
      <c r="D901" s="102"/>
      <c r="E901" s="102"/>
      <c r="G901" s="103"/>
      <c r="H901" s="8"/>
    </row>
    <row r="902" ht="15.75" customHeight="1">
      <c r="D902" s="102"/>
      <c r="E902" s="102"/>
      <c r="G902" s="103"/>
      <c r="H902" s="8"/>
    </row>
    <row r="903" ht="15.75" customHeight="1">
      <c r="D903" s="102"/>
      <c r="E903" s="102"/>
      <c r="G903" s="103"/>
      <c r="H903" s="8"/>
    </row>
    <row r="904" ht="15.75" customHeight="1">
      <c r="D904" s="102"/>
      <c r="E904" s="102"/>
      <c r="G904" s="103"/>
      <c r="H904" s="8"/>
    </row>
    <row r="905" ht="15.75" customHeight="1">
      <c r="D905" s="102"/>
      <c r="E905" s="102"/>
      <c r="G905" s="103"/>
      <c r="H905" s="8"/>
    </row>
    <row r="906" ht="15.75" customHeight="1">
      <c r="D906" s="102"/>
      <c r="E906" s="102"/>
      <c r="G906" s="103"/>
      <c r="H906" s="8"/>
    </row>
    <row r="907" ht="15.75" customHeight="1">
      <c r="D907" s="102"/>
      <c r="E907" s="102"/>
      <c r="G907" s="103"/>
      <c r="H907" s="8"/>
    </row>
    <row r="908" ht="15.75" customHeight="1">
      <c r="D908" s="102"/>
      <c r="E908" s="102"/>
      <c r="G908" s="103"/>
      <c r="H908" s="8"/>
    </row>
    <row r="909" ht="15.75" customHeight="1">
      <c r="D909" s="102"/>
      <c r="E909" s="102"/>
      <c r="G909" s="103"/>
      <c r="H909" s="8"/>
    </row>
    <row r="910" ht="15.75" customHeight="1">
      <c r="D910" s="102"/>
      <c r="E910" s="102"/>
      <c r="G910" s="103"/>
      <c r="H910" s="8"/>
    </row>
    <row r="911" ht="15.75" customHeight="1">
      <c r="D911" s="102"/>
      <c r="E911" s="102"/>
      <c r="G911" s="103"/>
      <c r="H911" s="8"/>
    </row>
    <row r="912" ht="15.75" customHeight="1">
      <c r="D912" s="102"/>
      <c r="E912" s="102"/>
      <c r="G912" s="103"/>
      <c r="H912" s="8"/>
    </row>
    <row r="913" ht="15.75" customHeight="1">
      <c r="D913" s="102"/>
      <c r="E913" s="102"/>
      <c r="G913" s="103"/>
      <c r="H913" s="8"/>
    </row>
    <row r="914" ht="15.75" customHeight="1">
      <c r="D914" s="102"/>
      <c r="E914" s="102"/>
      <c r="G914" s="103"/>
      <c r="H914" s="8"/>
    </row>
    <row r="915" ht="15.75" customHeight="1">
      <c r="D915" s="102"/>
      <c r="E915" s="102"/>
      <c r="G915" s="103"/>
      <c r="H915" s="8"/>
    </row>
    <row r="916" ht="15.75" customHeight="1">
      <c r="D916" s="102"/>
      <c r="E916" s="102"/>
      <c r="G916" s="103"/>
      <c r="H916" s="8"/>
    </row>
    <row r="917" ht="15.75" customHeight="1">
      <c r="D917" s="102"/>
      <c r="E917" s="102"/>
      <c r="G917" s="103"/>
      <c r="H917" s="8"/>
    </row>
    <row r="918" ht="15.75" customHeight="1">
      <c r="D918" s="102"/>
      <c r="E918" s="102"/>
      <c r="G918" s="103"/>
      <c r="H918" s="8"/>
    </row>
    <row r="919" ht="15.75" customHeight="1">
      <c r="D919" s="102"/>
      <c r="E919" s="102"/>
      <c r="G919" s="103"/>
      <c r="H919" s="8"/>
    </row>
    <row r="920" ht="15.75" customHeight="1">
      <c r="D920" s="102"/>
      <c r="E920" s="102"/>
      <c r="G920" s="103"/>
      <c r="H920" s="8"/>
    </row>
    <row r="921" ht="15.75" customHeight="1">
      <c r="D921" s="102"/>
      <c r="E921" s="102"/>
      <c r="G921" s="103"/>
      <c r="H921" s="8"/>
    </row>
    <row r="922" ht="15.75" customHeight="1">
      <c r="D922" s="102"/>
      <c r="E922" s="102"/>
      <c r="G922" s="103"/>
      <c r="H922" s="8"/>
    </row>
    <row r="923" ht="15.75" customHeight="1">
      <c r="D923" s="102"/>
      <c r="E923" s="102"/>
      <c r="G923" s="103"/>
      <c r="H923" s="8"/>
    </row>
    <row r="924" ht="15.75" customHeight="1">
      <c r="D924" s="102"/>
      <c r="E924" s="102"/>
      <c r="G924" s="103"/>
      <c r="H924" s="8"/>
    </row>
    <row r="925" ht="15.75" customHeight="1">
      <c r="D925" s="102"/>
      <c r="E925" s="102"/>
      <c r="G925" s="103"/>
      <c r="H925" s="8"/>
    </row>
    <row r="926" ht="15.75" customHeight="1">
      <c r="D926" s="102"/>
      <c r="E926" s="102"/>
      <c r="G926" s="103"/>
      <c r="H926" s="8"/>
    </row>
    <row r="927" ht="15.75" customHeight="1">
      <c r="D927" s="102"/>
      <c r="E927" s="102"/>
      <c r="G927" s="103"/>
      <c r="H927" s="8"/>
    </row>
    <row r="928" ht="15.75" customHeight="1">
      <c r="D928" s="102"/>
      <c r="E928" s="102"/>
      <c r="G928" s="103"/>
      <c r="H928" s="8"/>
    </row>
    <row r="929" ht="15.75" customHeight="1">
      <c r="D929" s="102"/>
      <c r="E929" s="102"/>
      <c r="G929" s="103"/>
      <c r="H929" s="8"/>
    </row>
    <row r="930" ht="15.75" customHeight="1">
      <c r="D930" s="102"/>
      <c r="E930" s="102"/>
      <c r="G930" s="103"/>
      <c r="H930" s="8"/>
    </row>
    <row r="931" ht="15.75" customHeight="1">
      <c r="D931" s="102"/>
      <c r="E931" s="102"/>
      <c r="G931" s="103"/>
      <c r="H931" s="8"/>
    </row>
    <row r="932" ht="15.75" customHeight="1">
      <c r="D932" s="102"/>
      <c r="E932" s="102"/>
      <c r="G932" s="103"/>
      <c r="H932" s="8"/>
    </row>
    <row r="933" ht="15.75" customHeight="1">
      <c r="D933" s="102"/>
      <c r="E933" s="102"/>
      <c r="G933" s="103"/>
      <c r="H933" s="8"/>
    </row>
    <row r="934" ht="15.75" customHeight="1">
      <c r="D934" s="102"/>
      <c r="E934" s="102"/>
      <c r="G934" s="103"/>
      <c r="H934" s="8"/>
    </row>
    <row r="935" ht="15.75" customHeight="1">
      <c r="D935" s="102"/>
      <c r="E935" s="102"/>
      <c r="G935" s="103"/>
      <c r="H935" s="8"/>
    </row>
    <row r="936" ht="15.75" customHeight="1">
      <c r="D936" s="102"/>
      <c r="E936" s="102"/>
      <c r="G936" s="103"/>
      <c r="H936" s="8"/>
    </row>
    <row r="937" ht="15.75" customHeight="1">
      <c r="D937" s="102"/>
      <c r="E937" s="102"/>
      <c r="G937" s="103"/>
      <c r="H937" s="8"/>
    </row>
    <row r="938" ht="15.75" customHeight="1">
      <c r="D938" s="102"/>
      <c r="E938" s="102"/>
      <c r="G938" s="103"/>
      <c r="H938" s="8"/>
    </row>
    <row r="939" ht="15.75" customHeight="1">
      <c r="D939" s="102"/>
      <c r="E939" s="102"/>
      <c r="G939" s="103"/>
      <c r="H939" s="8"/>
    </row>
    <row r="940" ht="15.75" customHeight="1">
      <c r="D940" s="102"/>
      <c r="E940" s="102"/>
      <c r="G940" s="103"/>
      <c r="H940" s="8"/>
    </row>
    <row r="941" ht="15.75" customHeight="1">
      <c r="D941" s="102"/>
      <c r="E941" s="102"/>
      <c r="G941" s="103"/>
      <c r="H941" s="8"/>
    </row>
    <row r="942" ht="15.75" customHeight="1">
      <c r="D942" s="102"/>
      <c r="E942" s="102"/>
      <c r="G942" s="103"/>
      <c r="H942" s="8"/>
    </row>
    <row r="943" ht="15.75" customHeight="1">
      <c r="D943" s="102"/>
      <c r="E943" s="102"/>
      <c r="G943" s="103"/>
      <c r="H943" s="8"/>
    </row>
    <row r="944" ht="15.75" customHeight="1">
      <c r="D944" s="102"/>
      <c r="E944" s="102"/>
      <c r="G944" s="103"/>
      <c r="H944" s="8"/>
    </row>
    <row r="945" ht="15.75" customHeight="1">
      <c r="D945" s="102"/>
      <c r="E945" s="102"/>
      <c r="G945" s="103"/>
      <c r="H945" s="8"/>
    </row>
    <row r="946" ht="15.75" customHeight="1">
      <c r="D946" s="102"/>
      <c r="E946" s="102"/>
      <c r="G946" s="103"/>
      <c r="H946" s="8"/>
    </row>
    <row r="947" ht="15.75" customHeight="1">
      <c r="D947" s="102"/>
      <c r="E947" s="102"/>
      <c r="G947" s="103"/>
      <c r="H947" s="8"/>
    </row>
    <row r="948" ht="15.75" customHeight="1">
      <c r="D948" s="102"/>
      <c r="E948" s="102"/>
      <c r="G948" s="103"/>
      <c r="H948" s="8"/>
    </row>
    <row r="949" ht="15.75" customHeight="1">
      <c r="D949" s="102"/>
      <c r="E949" s="102"/>
      <c r="G949" s="103"/>
      <c r="H949" s="8"/>
    </row>
    <row r="950" ht="15.75" customHeight="1">
      <c r="D950" s="102"/>
      <c r="E950" s="102"/>
      <c r="G950" s="103"/>
      <c r="H950" s="8"/>
    </row>
    <row r="951" ht="15.75" customHeight="1">
      <c r="D951" s="102"/>
      <c r="E951" s="102"/>
      <c r="G951" s="103"/>
      <c r="H951" s="8"/>
    </row>
    <row r="952" ht="15.75" customHeight="1">
      <c r="D952" s="102"/>
      <c r="E952" s="102"/>
      <c r="G952" s="103"/>
      <c r="H952" s="8"/>
    </row>
    <row r="953" ht="15.75" customHeight="1">
      <c r="D953" s="102"/>
      <c r="E953" s="102"/>
      <c r="G953" s="103"/>
      <c r="H953" s="8"/>
    </row>
    <row r="954" ht="15.75" customHeight="1">
      <c r="D954" s="102"/>
      <c r="E954" s="102"/>
      <c r="G954" s="103"/>
      <c r="H954" s="8"/>
    </row>
    <row r="955" ht="15.75" customHeight="1">
      <c r="D955" s="102"/>
      <c r="E955" s="102"/>
      <c r="G955" s="103"/>
      <c r="H955" s="8"/>
    </row>
    <row r="956" ht="15.75" customHeight="1">
      <c r="D956" s="102"/>
      <c r="E956" s="102"/>
      <c r="G956" s="103"/>
      <c r="H956" s="8"/>
    </row>
    <row r="957" ht="15.75" customHeight="1">
      <c r="D957" s="102"/>
      <c r="E957" s="102"/>
      <c r="G957" s="103"/>
      <c r="H957" s="8"/>
    </row>
    <row r="958" ht="15.75" customHeight="1">
      <c r="D958" s="102"/>
      <c r="E958" s="102"/>
      <c r="G958" s="103"/>
      <c r="H958" s="8"/>
    </row>
    <row r="959" ht="15.75" customHeight="1">
      <c r="D959" s="102"/>
      <c r="E959" s="102"/>
      <c r="G959" s="103"/>
      <c r="H959" s="8"/>
    </row>
    <row r="960" ht="15.75" customHeight="1">
      <c r="D960" s="102"/>
      <c r="E960" s="102"/>
      <c r="G960" s="103"/>
      <c r="H960" s="8"/>
    </row>
    <row r="961" ht="15.75" customHeight="1">
      <c r="D961" s="102"/>
      <c r="E961" s="102"/>
      <c r="G961" s="103"/>
      <c r="H961" s="8"/>
    </row>
    <row r="962" ht="15.75" customHeight="1">
      <c r="D962" s="102"/>
      <c r="E962" s="102"/>
      <c r="G962" s="103"/>
      <c r="H962" s="8"/>
    </row>
    <row r="963" ht="15.75" customHeight="1">
      <c r="D963" s="102"/>
      <c r="E963" s="102"/>
      <c r="G963" s="103"/>
      <c r="H963" s="8"/>
    </row>
    <row r="964" ht="15.75" customHeight="1">
      <c r="D964" s="102"/>
      <c r="E964" s="102"/>
      <c r="G964" s="103"/>
      <c r="H964" s="8"/>
    </row>
    <row r="965" ht="15.75" customHeight="1">
      <c r="D965" s="102"/>
      <c r="E965" s="102"/>
      <c r="G965" s="103"/>
      <c r="H965" s="8"/>
    </row>
    <row r="966" ht="15.75" customHeight="1">
      <c r="D966" s="102"/>
      <c r="E966" s="102"/>
      <c r="G966" s="103"/>
      <c r="H966" s="8"/>
    </row>
    <row r="967" ht="15.75" customHeight="1">
      <c r="D967" s="102"/>
      <c r="E967" s="102"/>
      <c r="G967" s="103"/>
      <c r="H967" s="8"/>
    </row>
    <row r="968" ht="15.75" customHeight="1">
      <c r="D968" s="102"/>
      <c r="E968" s="102"/>
      <c r="G968" s="103"/>
      <c r="H968" s="8"/>
    </row>
    <row r="969" ht="15.75" customHeight="1">
      <c r="D969" s="102"/>
      <c r="E969" s="102"/>
      <c r="G969" s="103"/>
      <c r="H969" s="8"/>
    </row>
    <row r="970" ht="15.75" customHeight="1">
      <c r="D970" s="102"/>
      <c r="E970" s="102"/>
      <c r="G970" s="103"/>
      <c r="H970" s="8"/>
    </row>
    <row r="971" ht="15.75" customHeight="1">
      <c r="D971" s="102"/>
      <c r="E971" s="102"/>
      <c r="G971" s="103"/>
      <c r="H971" s="8"/>
    </row>
    <row r="972" ht="15.75" customHeight="1">
      <c r="D972" s="102"/>
      <c r="E972" s="102"/>
      <c r="G972" s="103"/>
      <c r="H972" s="8"/>
    </row>
    <row r="973" ht="15.75" customHeight="1">
      <c r="D973" s="102"/>
      <c r="E973" s="102"/>
      <c r="G973" s="103"/>
      <c r="H973" s="8"/>
    </row>
    <row r="974" ht="15.75" customHeight="1">
      <c r="D974" s="102"/>
      <c r="E974" s="102"/>
      <c r="G974" s="103"/>
      <c r="H974" s="8"/>
    </row>
    <row r="975" ht="15.75" customHeight="1">
      <c r="D975" s="102"/>
      <c r="E975" s="102"/>
      <c r="G975" s="103"/>
      <c r="H975" s="8"/>
    </row>
    <row r="976" ht="15.75" customHeight="1">
      <c r="D976" s="102"/>
      <c r="E976" s="102"/>
      <c r="G976" s="103"/>
      <c r="H976" s="8"/>
    </row>
    <row r="977" ht="15.75" customHeight="1">
      <c r="D977" s="102"/>
      <c r="E977" s="102"/>
      <c r="G977" s="103"/>
      <c r="H977" s="8"/>
    </row>
    <row r="978" ht="15.75" customHeight="1">
      <c r="D978" s="102"/>
      <c r="E978" s="102"/>
      <c r="G978" s="103"/>
      <c r="H978" s="8"/>
    </row>
    <row r="979" ht="15.75" customHeight="1">
      <c r="D979" s="102"/>
      <c r="E979" s="102"/>
      <c r="G979" s="103"/>
      <c r="H979" s="8"/>
    </row>
    <row r="980" ht="15.75" customHeight="1">
      <c r="D980" s="102"/>
      <c r="E980" s="102"/>
      <c r="G980" s="103"/>
      <c r="H980" s="8"/>
    </row>
    <row r="981" ht="15.75" customHeight="1">
      <c r="D981" s="102"/>
      <c r="E981" s="102"/>
      <c r="G981" s="103"/>
      <c r="H981" s="8"/>
    </row>
    <row r="982" ht="15.75" customHeight="1">
      <c r="D982" s="102"/>
      <c r="E982" s="102"/>
      <c r="G982" s="103"/>
      <c r="H982" s="8"/>
    </row>
    <row r="983" ht="15.75" customHeight="1">
      <c r="D983" s="102"/>
      <c r="E983" s="102"/>
      <c r="G983" s="103"/>
      <c r="H983" s="8"/>
    </row>
    <row r="984" ht="15.75" customHeight="1">
      <c r="D984" s="102"/>
      <c r="E984" s="102"/>
      <c r="G984" s="103"/>
      <c r="H984" s="8"/>
    </row>
    <row r="985" ht="15.75" customHeight="1">
      <c r="D985" s="102"/>
      <c r="E985" s="102"/>
      <c r="G985" s="103"/>
      <c r="H985" s="8"/>
    </row>
    <row r="986" ht="15.75" customHeight="1">
      <c r="D986" s="102"/>
      <c r="E986" s="102"/>
      <c r="G986" s="103"/>
      <c r="H986" s="8"/>
    </row>
    <row r="987" ht="15.75" customHeight="1">
      <c r="D987" s="102"/>
      <c r="E987" s="102"/>
      <c r="G987" s="103"/>
      <c r="H987" s="8"/>
    </row>
    <row r="988" ht="15.75" customHeight="1">
      <c r="D988" s="102"/>
      <c r="E988" s="102"/>
      <c r="G988" s="103"/>
      <c r="H988" s="8"/>
    </row>
    <row r="989" ht="15.75" customHeight="1">
      <c r="D989" s="102"/>
      <c r="E989" s="102"/>
      <c r="G989" s="103"/>
      <c r="H989" s="8"/>
    </row>
    <row r="990" ht="15.75" customHeight="1">
      <c r="D990" s="102"/>
      <c r="E990" s="102"/>
      <c r="G990" s="103"/>
      <c r="H990" s="8"/>
    </row>
    <row r="991" ht="15.75" customHeight="1">
      <c r="D991" s="102"/>
      <c r="E991" s="102"/>
      <c r="G991" s="103"/>
      <c r="H991" s="8"/>
    </row>
    <row r="992" ht="15.75" customHeight="1">
      <c r="D992" s="102"/>
      <c r="E992" s="102"/>
      <c r="G992" s="103"/>
      <c r="H992" s="8"/>
    </row>
    <row r="993" ht="15.75" customHeight="1">
      <c r="D993" s="102"/>
      <c r="E993" s="102"/>
      <c r="G993" s="103"/>
      <c r="H993" s="8"/>
    </row>
    <row r="994" ht="15.75" customHeight="1">
      <c r="D994" s="102"/>
      <c r="E994" s="102"/>
      <c r="G994" s="103"/>
      <c r="H994" s="8"/>
    </row>
    <row r="995" ht="15.75" customHeight="1">
      <c r="D995" s="102"/>
      <c r="E995" s="102"/>
      <c r="G995" s="103"/>
      <c r="H995" s="8"/>
    </row>
    <row r="996" ht="15.75" customHeight="1">
      <c r="D996" s="102"/>
      <c r="E996" s="102"/>
      <c r="G996" s="103"/>
      <c r="H996" s="8"/>
    </row>
    <row r="997" ht="15.75" customHeight="1">
      <c r="D997" s="102"/>
      <c r="E997" s="102"/>
      <c r="G997" s="103"/>
      <c r="H997" s="8"/>
    </row>
    <row r="998" ht="15.75" customHeight="1">
      <c r="D998" s="102"/>
      <c r="E998" s="102"/>
      <c r="G998" s="103"/>
      <c r="H998" s="8"/>
    </row>
    <row r="999" ht="15.75" customHeight="1">
      <c r="D999" s="102"/>
      <c r="E999" s="102"/>
      <c r="G999" s="103"/>
      <c r="H999" s="8"/>
    </row>
    <row r="1000" ht="15.75" customHeight="1">
      <c r="D1000" s="102"/>
      <c r="E1000" s="102"/>
      <c r="G1000" s="103"/>
      <c r="H1000" s="8"/>
    </row>
  </sheetData>
  <mergeCells count="1">
    <mergeCell ref="E1:F1"/>
  </mergeCells>
  <hyperlinks>
    <hyperlink r:id="rId1" ref="A5"/>
    <hyperlink r:id="rId2" ref="A8"/>
    <hyperlink r:id="rId3" ref="A14"/>
    <hyperlink r:id="rId4" ref="A17"/>
    <hyperlink r:id="rId5" ref="A20"/>
    <hyperlink r:id="rId6" ref="A23"/>
    <hyperlink r:id="rId7" ref="A26"/>
    <hyperlink r:id="rId8" ref="A35"/>
  </hyperlinks>
  <printOptions/>
  <pageMargins bottom="0.984027777777778" footer="0.0" header="0.0" left="0.747916666666667" right="0.747916666666667" top="0.984027777777778"/>
  <pageSetup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9" width="16.63"/>
    <col customWidth="1" min="10" max="10" width="40.25"/>
    <col customWidth="1" min="11" max="11" width="12.25"/>
    <col customWidth="1" min="12" max="16" width="16.63"/>
    <col customWidth="1" min="17" max="26" width="12.75"/>
  </cols>
  <sheetData>
    <row r="1" ht="18.75" customHeight="1">
      <c r="A1" s="104"/>
      <c r="B1" s="105"/>
      <c r="C1" s="105"/>
      <c r="D1" s="106"/>
      <c r="E1" s="106"/>
      <c r="F1" s="106"/>
      <c r="G1" s="106"/>
      <c r="H1" s="106"/>
      <c r="I1" s="106"/>
      <c r="J1" s="106"/>
      <c r="K1" s="107">
        <f>K66+K62+K58+K54+K50+K46+K42+K38+K34+K30+K26+K10+K18+K6+K2</f>
        <v>3049135140</v>
      </c>
      <c r="L1" s="108"/>
      <c r="M1" s="108"/>
      <c r="N1" s="108"/>
      <c r="O1" s="108"/>
      <c r="P1" s="108"/>
    </row>
    <row r="2" ht="18.75" customHeight="1">
      <c r="A2" s="109"/>
      <c r="B2" s="110" t="s">
        <v>54</v>
      </c>
      <c r="C2" s="111"/>
      <c r="D2" s="112" t="s">
        <v>55</v>
      </c>
      <c r="E2" s="112"/>
      <c r="F2" s="112"/>
      <c r="G2" s="112"/>
      <c r="H2" s="112"/>
      <c r="I2" s="113"/>
      <c r="J2" s="113"/>
      <c r="K2" s="114">
        <v>7.6886769E7</v>
      </c>
      <c r="L2" s="115"/>
      <c r="M2" s="115"/>
      <c r="N2" s="115"/>
      <c r="O2" s="115"/>
      <c r="P2" s="115"/>
    </row>
    <row r="3" ht="18.75" customHeight="1">
      <c r="A3" s="116"/>
      <c r="B3" s="117" t="s">
        <v>56</v>
      </c>
      <c r="C3" s="118"/>
      <c r="D3" s="119" t="s">
        <v>57</v>
      </c>
      <c r="E3" s="119"/>
      <c r="F3" s="119"/>
      <c r="G3" s="119"/>
      <c r="H3" s="119"/>
      <c r="I3" s="120"/>
      <c r="J3" s="120"/>
      <c r="K3" s="121"/>
      <c r="L3" s="122"/>
      <c r="M3" s="122"/>
      <c r="N3" s="122"/>
      <c r="O3" s="122"/>
      <c r="P3" s="122"/>
    </row>
    <row r="4" ht="18.75" customHeight="1">
      <c r="A4" s="123"/>
      <c r="B4" s="124"/>
      <c r="C4" s="118"/>
      <c r="D4" s="119"/>
      <c r="E4" s="119"/>
      <c r="F4" s="119"/>
      <c r="G4" s="119"/>
      <c r="H4" s="119"/>
      <c r="I4" s="120"/>
      <c r="J4" s="120"/>
      <c r="K4" s="121"/>
      <c r="L4" s="122"/>
      <c r="M4" s="122"/>
      <c r="N4" s="122"/>
      <c r="O4" s="122"/>
      <c r="P4" s="122"/>
    </row>
    <row r="5" ht="18.75" customHeight="1">
      <c r="A5" s="123"/>
      <c r="B5" s="124"/>
      <c r="C5" s="118"/>
      <c r="D5" s="119"/>
      <c r="E5" s="119"/>
      <c r="F5" s="119"/>
      <c r="G5" s="119"/>
      <c r="H5" s="119"/>
      <c r="I5" s="120"/>
      <c r="J5" s="120"/>
      <c r="K5" s="121"/>
      <c r="L5" s="122"/>
      <c r="M5" s="122"/>
      <c r="N5" s="122"/>
      <c r="O5" s="122"/>
      <c r="P5" s="122"/>
    </row>
    <row r="6" ht="18.75" customHeight="1">
      <c r="A6" s="125">
        <v>45058.0</v>
      </c>
      <c r="B6" s="126"/>
      <c r="C6" s="127"/>
      <c r="D6" s="128" t="s">
        <v>58</v>
      </c>
      <c r="E6" s="122"/>
      <c r="F6" s="122"/>
      <c r="G6" s="122"/>
      <c r="H6" s="122"/>
      <c r="I6" s="129"/>
      <c r="J6" s="129"/>
      <c r="K6" s="130">
        <v>1.58E9</v>
      </c>
      <c r="L6" s="122"/>
      <c r="M6" s="122"/>
      <c r="N6" s="122"/>
      <c r="O6" s="122"/>
      <c r="P6" s="122"/>
    </row>
    <row r="7" ht="18.75" customHeight="1">
      <c r="A7" s="131"/>
      <c r="B7" s="126"/>
      <c r="C7" s="127"/>
      <c r="D7" s="128" t="s">
        <v>59</v>
      </c>
      <c r="E7" s="122"/>
      <c r="F7" s="122"/>
      <c r="G7" s="122"/>
      <c r="H7" s="122"/>
      <c r="I7" s="129"/>
      <c r="J7" s="129"/>
      <c r="K7" s="130">
        <v>3505000.0</v>
      </c>
      <c r="L7" s="122"/>
      <c r="M7" s="122"/>
      <c r="N7" s="122"/>
      <c r="O7" s="122"/>
      <c r="P7" s="122"/>
    </row>
    <row r="8" ht="18.75" customHeight="1">
      <c r="A8" s="131"/>
      <c r="B8" s="126"/>
      <c r="C8" s="127"/>
      <c r="D8" s="122"/>
      <c r="E8" s="122"/>
      <c r="F8" s="122"/>
      <c r="G8" s="122"/>
      <c r="H8" s="122"/>
      <c r="I8" s="129"/>
      <c r="J8" s="129"/>
      <c r="K8" s="130">
        <v>0.0</v>
      </c>
      <c r="L8" s="122"/>
      <c r="M8" s="122"/>
      <c r="N8" s="122"/>
      <c r="O8" s="122"/>
      <c r="P8" s="122"/>
    </row>
    <row r="9" ht="45.75" customHeight="1">
      <c r="A9" s="132"/>
      <c r="B9" s="133"/>
      <c r="C9" s="134"/>
      <c r="D9" s="135"/>
      <c r="E9" s="135"/>
      <c r="F9" s="135"/>
      <c r="G9" s="135"/>
      <c r="H9" s="135"/>
      <c r="I9" s="136"/>
      <c r="J9" s="136"/>
      <c r="K9" s="137"/>
      <c r="L9" s="122"/>
      <c r="M9" s="122"/>
      <c r="N9" s="122"/>
      <c r="O9" s="122"/>
      <c r="P9" s="122"/>
    </row>
    <row r="10" ht="18.75" customHeight="1">
      <c r="A10" s="138">
        <v>45058.0</v>
      </c>
      <c r="B10" s="139" t="s">
        <v>60</v>
      </c>
      <c r="C10" s="140"/>
      <c r="D10" s="141" t="s">
        <v>61</v>
      </c>
      <c r="E10" s="141"/>
      <c r="F10" s="141"/>
      <c r="G10" s="142" t="s">
        <v>62</v>
      </c>
      <c r="H10" s="143"/>
      <c r="I10" s="144"/>
      <c r="J10" s="144"/>
      <c r="K10" s="145">
        <v>5.51765E8</v>
      </c>
      <c r="L10" s="122"/>
      <c r="M10" s="122"/>
      <c r="N10" s="122"/>
      <c r="O10" s="122"/>
      <c r="P10" s="122"/>
    </row>
    <row r="11" ht="18.75" customHeight="1">
      <c r="A11" s="146"/>
      <c r="B11" s="147" t="s">
        <v>63</v>
      </c>
      <c r="C11" s="140"/>
      <c r="D11" s="141" t="s">
        <v>64</v>
      </c>
      <c r="E11" s="141"/>
      <c r="F11" s="141"/>
      <c r="G11" s="148"/>
      <c r="H11" s="149"/>
      <c r="I11" s="144"/>
      <c r="J11" s="144"/>
      <c r="K11" s="145">
        <v>3420000.0</v>
      </c>
      <c r="L11" s="122"/>
      <c r="M11" s="122"/>
      <c r="N11" s="122"/>
      <c r="O11" s="122"/>
      <c r="P11" s="122"/>
    </row>
    <row r="12" ht="18.75" customHeight="1">
      <c r="A12" s="146"/>
      <c r="B12" s="139"/>
      <c r="C12" s="140"/>
      <c r="D12" s="141"/>
      <c r="E12" s="141"/>
      <c r="F12" s="141"/>
      <c r="G12" s="148"/>
      <c r="H12" s="149"/>
      <c r="I12" s="144"/>
      <c r="J12" s="144"/>
      <c r="K12" s="145">
        <v>0.0</v>
      </c>
      <c r="L12" s="122"/>
      <c r="M12" s="122"/>
      <c r="N12" s="122"/>
      <c r="O12" s="122"/>
      <c r="P12" s="122"/>
    </row>
    <row r="13" ht="18.75" customHeight="1">
      <c r="A13" s="150"/>
      <c r="B13" s="139"/>
      <c r="C13" s="140"/>
      <c r="D13" s="141"/>
      <c r="E13" s="141"/>
      <c r="F13" s="141"/>
      <c r="G13" s="151"/>
      <c r="H13" s="152"/>
      <c r="I13" s="144"/>
      <c r="J13" s="144"/>
      <c r="K13" s="145"/>
      <c r="L13" s="122"/>
      <c r="M13" s="122"/>
      <c r="N13" s="122"/>
      <c r="O13" s="122"/>
      <c r="P13" s="122"/>
    </row>
    <row r="14" ht="18.75" customHeight="1">
      <c r="A14" s="153"/>
      <c r="B14" s="127"/>
      <c r="C14" s="127"/>
      <c r="D14" s="122"/>
      <c r="E14" s="122"/>
      <c r="F14" s="122"/>
      <c r="G14" s="122"/>
      <c r="H14" s="122"/>
      <c r="I14" s="129"/>
      <c r="J14" s="129"/>
      <c r="K14" s="154"/>
      <c r="L14" s="122"/>
      <c r="M14" s="122"/>
      <c r="N14" s="122"/>
      <c r="O14" s="122"/>
      <c r="P14" s="122"/>
    </row>
    <row r="15" ht="18.75" customHeight="1">
      <c r="A15" s="146"/>
      <c r="B15" s="127"/>
      <c r="C15" s="127"/>
      <c r="D15" s="122"/>
      <c r="E15" s="122"/>
      <c r="F15" s="122"/>
      <c r="G15" s="122"/>
      <c r="H15" s="122"/>
      <c r="I15" s="129"/>
      <c r="J15" s="129"/>
      <c r="K15" s="154"/>
      <c r="L15" s="122"/>
      <c r="M15" s="122"/>
      <c r="N15" s="122"/>
      <c r="O15" s="122"/>
      <c r="P15" s="122"/>
    </row>
    <row r="16" ht="18.75" customHeight="1">
      <c r="A16" s="146"/>
      <c r="B16" s="127"/>
      <c r="C16" s="127"/>
      <c r="D16" s="122"/>
      <c r="E16" s="122"/>
      <c r="F16" s="122"/>
      <c r="G16" s="122"/>
      <c r="H16" s="122"/>
      <c r="I16" s="129"/>
      <c r="J16" s="129"/>
      <c r="K16" s="154"/>
      <c r="L16" s="122"/>
      <c r="M16" s="122"/>
      <c r="N16" s="122"/>
      <c r="O16" s="122"/>
      <c r="P16" s="122"/>
    </row>
    <row r="17" ht="18.75" customHeight="1">
      <c r="A17" s="146"/>
      <c r="B17" s="127"/>
      <c r="C17" s="127"/>
      <c r="D17" s="122"/>
      <c r="E17" s="122"/>
      <c r="F17" s="122"/>
      <c r="G17" s="122"/>
      <c r="H17" s="122"/>
      <c r="I17" s="129"/>
      <c r="J17" s="129"/>
      <c r="K17" s="154"/>
      <c r="L17" s="122"/>
      <c r="M17" s="122"/>
      <c r="N17" s="122"/>
      <c r="O17" s="122"/>
      <c r="P17" s="122"/>
    </row>
    <row r="18" ht="18.75" customHeight="1">
      <c r="A18" s="155"/>
      <c r="B18" s="156" t="s">
        <v>65</v>
      </c>
      <c r="C18" s="157"/>
      <c r="D18" s="158" t="s">
        <v>66</v>
      </c>
      <c r="E18" s="158"/>
      <c r="F18" s="158"/>
      <c r="G18" s="159" t="s">
        <v>62</v>
      </c>
      <c r="H18" s="160"/>
      <c r="I18" s="161"/>
      <c r="J18" s="161"/>
      <c r="K18" s="162"/>
      <c r="L18" s="122"/>
      <c r="M18" s="122"/>
      <c r="N18" s="122"/>
      <c r="O18" s="122"/>
      <c r="P18" s="122"/>
    </row>
    <row r="19" ht="18.75" customHeight="1">
      <c r="A19" s="163"/>
      <c r="B19" s="164" t="s">
        <v>63</v>
      </c>
      <c r="C19" s="165"/>
      <c r="D19" s="166" t="s">
        <v>67</v>
      </c>
      <c r="E19" s="166"/>
      <c r="F19" s="166"/>
      <c r="G19" s="148"/>
      <c r="H19" s="149"/>
      <c r="I19" s="167"/>
      <c r="J19" s="167"/>
      <c r="K19" s="168"/>
      <c r="L19" s="122"/>
      <c r="M19" s="122"/>
      <c r="N19" s="122"/>
      <c r="O19" s="122"/>
      <c r="P19" s="122"/>
    </row>
    <row r="20" ht="18.75" customHeight="1">
      <c r="A20" s="169"/>
      <c r="B20" s="170"/>
      <c r="C20" s="165"/>
      <c r="D20" s="166"/>
      <c r="E20" s="166"/>
      <c r="F20" s="166"/>
      <c r="G20" s="148"/>
      <c r="H20" s="149"/>
      <c r="I20" s="167"/>
      <c r="J20" s="167"/>
      <c r="K20" s="168"/>
      <c r="L20" s="122"/>
      <c r="M20" s="122"/>
      <c r="N20" s="122"/>
      <c r="O20" s="122"/>
      <c r="P20" s="122"/>
    </row>
    <row r="21" ht="18.75" customHeight="1">
      <c r="A21" s="169"/>
      <c r="B21" s="170"/>
      <c r="C21" s="165"/>
      <c r="D21" s="166"/>
      <c r="E21" s="166"/>
      <c r="F21" s="166"/>
      <c r="G21" s="151"/>
      <c r="H21" s="152"/>
      <c r="I21" s="167"/>
      <c r="J21" s="167"/>
      <c r="K21" s="168"/>
      <c r="L21" s="122"/>
      <c r="M21" s="122"/>
      <c r="N21" s="122"/>
      <c r="O21" s="122"/>
      <c r="P21" s="122"/>
    </row>
    <row r="22" ht="18.75" customHeight="1">
      <c r="A22" s="171"/>
      <c r="B22" s="172"/>
      <c r="C22" s="139"/>
      <c r="D22" s="173" t="s">
        <v>68</v>
      </c>
      <c r="E22" s="173"/>
      <c r="F22" s="173"/>
      <c r="G22" s="173"/>
      <c r="H22" s="173"/>
      <c r="I22" s="173"/>
      <c r="J22" s="174" t="s">
        <v>69</v>
      </c>
      <c r="K22" s="175">
        <v>1.0E8</v>
      </c>
      <c r="L22" s="122"/>
      <c r="M22" s="122"/>
      <c r="N22" s="122"/>
      <c r="O22" s="122"/>
      <c r="P22" s="122"/>
    </row>
    <row r="23" ht="18.75" customHeight="1">
      <c r="A23" s="171"/>
      <c r="B23" s="172"/>
      <c r="C23" s="139"/>
      <c r="D23" s="173" t="s">
        <v>70</v>
      </c>
      <c r="E23" s="173"/>
      <c r="F23" s="173"/>
      <c r="G23" s="173"/>
      <c r="H23" s="173"/>
      <c r="I23" s="173"/>
      <c r="J23" s="174" t="s">
        <v>4</v>
      </c>
      <c r="K23" s="175">
        <v>1736000.0</v>
      </c>
      <c r="L23" s="122"/>
      <c r="M23" s="122"/>
      <c r="N23" s="122"/>
      <c r="O23" s="122"/>
      <c r="P23" s="122"/>
    </row>
    <row r="24" ht="18.75" customHeight="1">
      <c r="A24" s="171"/>
      <c r="B24" s="172"/>
      <c r="C24" s="139"/>
      <c r="D24" s="173"/>
      <c r="E24" s="173"/>
      <c r="F24" s="173"/>
      <c r="G24" s="173"/>
      <c r="H24" s="173"/>
      <c r="I24" s="173"/>
      <c r="J24" s="174" t="s">
        <v>71</v>
      </c>
      <c r="K24" s="175">
        <v>0.0</v>
      </c>
      <c r="L24" s="122"/>
      <c r="M24" s="122"/>
      <c r="N24" s="122"/>
      <c r="O24" s="122"/>
      <c r="P24" s="122"/>
    </row>
    <row r="25" ht="46.5" customHeight="1">
      <c r="A25" s="176">
        <v>45058.0</v>
      </c>
      <c r="B25" s="177"/>
      <c r="C25" s="178"/>
      <c r="D25" s="179"/>
      <c r="E25" s="179"/>
      <c r="F25" s="179"/>
      <c r="G25" s="179"/>
      <c r="H25" s="179"/>
      <c r="I25" s="179"/>
      <c r="J25" s="180"/>
      <c r="K25" s="181"/>
      <c r="L25" s="122"/>
      <c r="M25" s="122"/>
      <c r="N25" s="122"/>
      <c r="O25" s="122"/>
      <c r="P25" s="122"/>
    </row>
    <row r="26" ht="18.75" customHeight="1">
      <c r="A26" s="109"/>
      <c r="B26" s="124" t="s">
        <v>35</v>
      </c>
      <c r="C26" s="118"/>
      <c r="D26" s="119" t="s">
        <v>72</v>
      </c>
      <c r="E26" s="119"/>
      <c r="F26" s="119"/>
      <c r="G26" s="119"/>
      <c r="H26" s="119"/>
      <c r="I26" s="120"/>
      <c r="J26" s="120"/>
      <c r="K26" s="121">
        <v>1.17663285E8</v>
      </c>
      <c r="L26" s="122"/>
      <c r="M26" s="122"/>
      <c r="N26" s="122"/>
      <c r="O26" s="122"/>
      <c r="P26" s="122"/>
    </row>
    <row r="27" ht="18.75" customHeight="1">
      <c r="A27" s="116"/>
      <c r="B27" s="117" t="s">
        <v>36</v>
      </c>
      <c r="C27" s="118"/>
      <c r="D27" s="119" t="s">
        <v>73</v>
      </c>
      <c r="E27" s="119"/>
      <c r="F27" s="119"/>
      <c r="G27" s="119"/>
      <c r="H27" s="119"/>
      <c r="I27" s="120"/>
      <c r="J27" s="120"/>
      <c r="K27" s="121"/>
      <c r="L27" s="122"/>
      <c r="M27" s="122"/>
      <c r="N27" s="122"/>
      <c r="O27" s="122"/>
      <c r="P27" s="122"/>
    </row>
    <row r="28" ht="18.75" customHeight="1">
      <c r="A28" s="123"/>
      <c r="B28" s="124"/>
      <c r="C28" s="118"/>
      <c r="D28" s="119"/>
      <c r="E28" s="119"/>
      <c r="F28" s="119"/>
      <c r="G28" s="119"/>
      <c r="H28" s="119"/>
      <c r="I28" s="120"/>
      <c r="J28" s="120"/>
      <c r="K28" s="121"/>
      <c r="L28" s="122"/>
      <c r="M28" s="122"/>
      <c r="N28" s="122"/>
      <c r="O28" s="122"/>
      <c r="P28" s="122"/>
    </row>
    <row r="29" ht="18.75" customHeight="1">
      <c r="A29" s="123"/>
      <c r="B29" s="124"/>
      <c r="C29" s="118"/>
      <c r="D29" s="119"/>
      <c r="E29" s="119"/>
      <c r="F29" s="119"/>
      <c r="G29" s="119"/>
      <c r="H29" s="119"/>
      <c r="I29" s="120"/>
      <c r="J29" s="120"/>
      <c r="K29" s="121"/>
      <c r="L29" s="122"/>
      <c r="M29" s="122"/>
      <c r="N29" s="122"/>
      <c r="O29" s="122"/>
      <c r="P29" s="122"/>
    </row>
    <row r="30" ht="18.75" customHeight="1">
      <c r="A30" s="125">
        <v>45058.0</v>
      </c>
      <c r="B30" s="172"/>
      <c r="C30" s="140"/>
      <c r="D30" s="141" t="s">
        <v>74</v>
      </c>
      <c r="E30" s="141"/>
      <c r="F30" s="141"/>
      <c r="G30" s="142" t="s">
        <v>62</v>
      </c>
      <c r="H30" s="143"/>
      <c r="I30" s="144"/>
      <c r="J30" s="182" t="s">
        <v>69</v>
      </c>
      <c r="K30" s="175">
        <v>3.4708509E7</v>
      </c>
      <c r="L30" s="122"/>
      <c r="M30" s="122"/>
      <c r="N30" s="122"/>
      <c r="O30" s="122"/>
      <c r="P30" s="122"/>
    </row>
    <row r="31" ht="18.75" customHeight="1">
      <c r="A31" s="131"/>
      <c r="B31" s="172"/>
      <c r="C31" s="140"/>
      <c r="D31" s="141" t="s">
        <v>75</v>
      </c>
      <c r="E31" s="141"/>
      <c r="F31" s="141"/>
      <c r="G31" s="148"/>
      <c r="H31" s="149"/>
      <c r="I31" s="144"/>
      <c r="J31" s="182" t="s">
        <v>4</v>
      </c>
      <c r="K31" s="175">
        <v>2845000.0</v>
      </c>
      <c r="L31" s="122"/>
      <c r="M31" s="122"/>
      <c r="N31" s="122"/>
      <c r="O31" s="122"/>
      <c r="P31" s="122"/>
    </row>
    <row r="32" ht="18.75" customHeight="1">
      <c r="A32" s="131"/>
      <c r="B32" s="172"/>
      <c r="C32" s="140"/>
      <c r="D32" s="141"/>
      <c r="E32" s="141"/>
      <c r="F32" s="141"/>
      <c r="G32" s="148"/>
      <c r="H32" s="149"/>
      <c r="I32" s="144"/>
      <c r="J32" s="182" t="s">
        <v>71</v>
      </c>
      <c r="K32" s="175">
        <v>1000000.0</v>
      </c>
      <c r="L32" s="122"/>
      <c r="M32" s="122"/>
      <c r="N32" s="122"/>
      <c r="O32" s="122"/>
      <c r="P32" s="122"/>
    </row>
    <row r="33" ht="18.75" customHeight="1">
      <c r="A33" s="132"/>
      <c r="B33" s="177"/>
      <c r="C33" s="183"/>
      <c r="D33" s="184"/>
      <c r="E33" s="184"/>
      <c r="F33" s="184"/>
      <c r="G33" s="185"/>
      <c r="H33" s="186"/>
      <c r="I33" s="187"/>
      <c r="J33" s="187"/>
      <c r="K33" s="181"/>
      <c r="L33" s="122"/>
      <c r="M33" s="122"/>
      <c r="N33" s="122"/>
      <c r="O33" s="122"/>
      <c r="P33" s="122"/>
    </row>
    <row r="34" ht="18.75" customHeight="1">
      <c r="A34" s="109"/>
      <c r="B34" s="124" t="s">
        <v>31</v>
      </c>
      <c r="C34" s="118"/>
      <c r="D34" s="119" t="s">
        <v>76</v>
      </c>
      <c r="E34" s="119"/>
      <c r="F34" s="119"/>
      <c r="G34" s="119"/>
      <c r="H34" s="119"/>
      <c r="I34" s="120"/>
      <c r="J34" s="120"/>
      <c r="K34" s="121">
        <v>1.06961088E8</v>
      </c>
      <c r="L34" s="122"/>
      <c r="M34" s="122"/>
      <c r="N34" s="122"/>
      <c r="O34" s="122"/>
      <c r="P34" s="122"/>
    </row>
    <row r="35" ht="18.75" customHeight="1">
      <c r="A35" s="116"/>
      <c r="B35" s="117" t="s">
        <v>32</v>
      </c>
      <c r="C35" s="118"/>
      <c r="D35" s="119" t="s">
        <v>77</v>
      </c>
      <c r="E35" s="119"/>
      <c r="F35" s="119"/>
      <c r="G35" s="119"/>
      <c r="H35" s="119"/>
      <c r="I35" s="120"/>
      <c r="J35" s="120"/>
      <c r="K35" s="121"/>
      <c r="L35" s="122"/>
      <c r="M35" s="122"/>
      <c r="N35" s="122"/>
      <c r="O35" s="122"/>
      <c r="P35" s="122"/>
    </row>
    <row r="36" ht="18.75" customHeight="1">
      <c r="A36" s="123"/>
      <c r="B36" s="124"/>
      <c r="C36" s="118"/>
      <c r="D36" s="119"/>
      <c r="E36" s="119"/>
      <c r="F36" s="119"/>
      <c r="G36" s="119"/>
      <c r="H36" s="119"/>
      <c r="I36" s="120"/>
      <c r="J36" s="120"/>
      <c r="K36" s="121"/>
      <c r="L36" s="122"/>
      <c r="M36" s="122"/>
      <c r="N36" s="122"/>
      <c r="O36" s="122"/>
      <c r="P36" s="122"/>
    </row>
    <row r="37" ht="18.75" customHeight="1">
      <c r="A37" s="123"/>
      <c r="B37" s="124"/>
      <c r="C37" s="118"/>
      <c r="D37" s="119"/>
      <c r="E37" s="119"/>
      <c r="F37" s="119"/>
      <c r="G37" s="119"/>
      <c r="H37" s="119"/>
      <c r="I37" s="120"/>
      <c r="J37" s="120"/>
      <c r="K37" s="121"/>
      <c r="L37" s="122"/>
      <c r="M37" s="122"/>
      <c r="N37" s="122"/>
      <c r="O37" s="122"/>
      <c r="P37" s="122"/>
    </row>
    <row r="38" ht="18.75" customHeight="1">
      <c r="A38" s="171"/>
      <c r="B38" s="172"/>
      <c r="C38" s="139"/>
      <c r="D38" s="173" t="s">
        <v>78</v>
      </c>
      <c r="E38" s="141"/>
      <c r="F38" s="141"/>
      <c r="G38" s="188"/>
      <c r="H38" s="188"/>
      <c r="I38" s="144"/>
      <c r="J38" s="182" t="s">
        <v>69</v>
      </c>
      <c r="K38" s="175">
        <v>5.865E7</v>
      </c>
      <c r="L38" s="122"/>
      <c r="M38" s="122"/>
      <c r="N38" s="122"/>
      <c r="O38" s="122"/>
      <c r="P38" s="122"/>
    </row>
    <row r="39" ht="18.75" customHeight="1">
      <c r="A39" s="171"/>
      <c r="B39" s="172"/>
      <c r="C39" s="139"/>
      <c r="D39" s="173" t="s">
        <v>79</v>
      </c>
      <c r="E39" s="141"/>
      <c r="F39" s="141"/>
      <c r="G39" s="188"/>
      <c r="H39" s="188"/>
      <c r="I39" s="144"/>
      <c r="J39" s="182" t="s">
        <v>4</v>
      </c>
      <c r="K39" s="175">
        <v>2000000.0</v>
      </c>
      <c r="L39" s="122"/>
      <c r="M39" s="122"/>
      <c r="N39" s="122"/>
      <c r="O39" s="122"/>
      <c r="P39" s="122"/>
    </row>
    <row r="40" ht="18.75" customHeight="1">
      <c r="A40" s="171"/>
      <c r="B40" s="172"/>
      <c r="C40" s="189" t="s">
        <v>80</v>
      </c>
      <c r="D40" s="141"/>
      <c r="E40" s="141"/>
      <c r="F40" s="141"/>
      <c r="G40" s="188"/>
      <c r="H40" s="188"/>
      <c r="I40" s="144"/>
      <c r="J40" s="182" t="s">
        <v>71</v>
      </c>
      <c r="K40" s="175">
        <v>268000.0</v>
      </c>
      <c r="L40" s="122"/>
      <c r="M40" s="122"/>
      <c r="N40" s="122"/>
      <c r="O40" s="122"/>
      <c r="P40" s="122"/>
    </row>
    <row r="41" ht="46.5" customHeight="1">
      <c r="A41" s="190">
        <v>45058.0</v>
      </c>
      <c r="B41" s="177"/>
      <c r="C41" s="191" t="s">
        <v>34</v>
      </c>
      <c r="D41" s="184"/>
      <c r="E41" s="184"/>
      <c r="F41" s="184"/>
      <c r="G41" s="192"/>
      <c r="H41" s="192"/>
      <c r="I41" s="187"/>
      <c r="J41" s="187"/>
      <c r="K41" s="181"/>
      <c r="L41" s="122"/>
      <c r="M41" s="122"/>
      <c r="N41" s="122"/>
      <c r="O41" s="122"/>
      <c r="P41" s="122"/>
    </row>
    <row r="42" ht="18.75" customHeight="1">
      <c r="A42" s="193"/>
      <c r="B42" s="194" t="s">
        <v>17</v>
      </c>
      <c r="C42" s="118"/>
      <c r="D42" s="119" t="s">
        <v>81</v>
      </c>
      <c r="E42" s="119"/>
      <c r="F42" s="119"/>
      <c r="G42" s="119"/>
      <c r="H42" s="119"/>
      <c r="I42" s="120"/>
      <c r="J42" s="120"/>
      <c r="K42" s="195">
        <v>1201683.0</v>
      </c>
      <c r="L42" s="122"/>
      <c r="M42" s="122"/>
      <c r="N42" s="122"/>
      <c r="O42" s="122"/>
      <c r="P42" s="122"/>
    </row>
    <row r="43" ht="18.75" customHeight="1">
      <c r="A43" s="196"/>
      <c r="B43" s="197"/>
      <c r="C43" s="118"/>
      <c r="D43" s="119" t="s">
        <v>82</v>
      </c>
      <c r="E43" s="119"/>
      <c r="F43" s="119"/>
      <c r="G43" s="119"/>
      <c r="H43" s="119"/>
      <c r="I43" s="120"/>
      <c r="J43" s="120"/>
      <c r="K43" s="195"/>
      <c r="L43" s="122"/>
      <c r="M43" s="122"/>
      <c r="N43" s="122"/>
      <c r="O43" s="122"/>
      <c r="P43" s="122"/>
    </row>
    <row r="44" ht="18.75" customHeight="1">
      <c r="A44" s="196"/>
      <c r="B44" s="197"/>
      <c r="C44" s="118"/>
      <c r="D44" s="119"/>
      <c r="E44" s="119"/>
      <c r="F44" s="119"/>
      <c r="G44" s="119"/>
      <c r="H44" s="119"/>
      <c r="I44" s="120"/>
      <c r="J44" s="120"/>
      <c r="K44" s="195"/>
      <c r="L44" s="122"/>
      <c r="M44" s="122"/>
      <c r="N44" s="122"/>
      <c r="O44" s="122"/>
      <c r="P44" s="122"/>
    </row>
    <row r="45" ht="18.75" customHeight="1">
      <c r="A45" s="196"/>
      <c r="B45" s="197"/>
      <c r="C45" s="118"/>
      <c r="D45" s="119"/>
      <c r="E45" s="119"/>
      <c r="F45" s="119"/>
      <c r="G45" s="119"/>
      <c r="H45" s="119"/>
      <c r="I45" s="120"/>
      <c r="J45" s="120"/>
      <c r="K45" s="195"/>
      <c r="L45" s="122"/>
      <c r="M45" s="122"/>
      <c r="N45" s="122"/>
      <c r="O45" s="122"/>
      <c r="P45" s="122"/>
    </row>
    <row r="46" ht="18.75" customHeight="1">
      <c r="A46" s="198">
        <v>45150.0</v>
      </c>
      <c r="B46" s="199"/>
      <c r="C46" s="200"/>
      <c r="D46" s="201" t="s">
        <v>83</v>
      </c>
      <c r="E46" s="201"/>
      <c r="F46" s="201"/>
      <c r="G46" s="202" t="s">
        <v>84</v>
      </c>
      <c r="H46" s="143"/>
      <c r="I46" s="203"/>
      <c r="J46" s="204" t="s">
        <v>69</v>
      </c>
      <c r="K46" s="205">
        <v>330000.0</v>
      </c>
      <c r="L46" s="122"/>
      <c r="M46" s="122"/>
      <c r="N46" s="122"/>
      <c r="O46" s="122"/>
      <c r="P46" s="122"/>
    </row>
    <row r="47" ht="18.75" customHeight="1">
      <c r="A47" s="206"/>
      <c r="B47" s="199"/>
      <c r="C47" s="200"/>
      <c r="D47" s="201" t="s">
        <v>85</v>
      </c>
      <c r="E47" s="201"/>
      <c r="F47" s="201"/>
      <c r="G47" s="148"/>
      <c r="H47" s="149"/>
      <c r="I47" s="203"/>
      <c r="J47" s="204" t="s">
        <v>4</v>
      </c>
      <c r="K47" s="205">
        <v>1800000.0</v>
      </c>
      <c r="L47" s="122"/>
      <c r="M47" s="122"/>
      <c r="N47" s="122"/>
      <c r="O47" s="122"/>
      <c r="P47" s="122"/>
    </row>
    <row r="48" ht="18.75" customHeight="1">
      <c r="A48" s="206"/>
      <c r="B48" s="199"/>
      <c r="C48" s="200"/>
      <c r="D48" s="201"/>
      <c r="E48" s="201"/>
      <c r="F48" s="201"/>
      <c r="G48" s="148"/>
      <c r="H48" s="149"/>
      <c r="I48" s="203"/>
      <c r="J48" s="204" t="s">
        <v>71</v>
      </c>
      <c r="K48" s="205">
        <v>1000000.0</v>
      </c>
      <c r="L48" s="122"/>
      <c r="M48" s="122"/>
      <c r="N48" s="122"/>
      <c r="O48" s="122"/>
      <c r="P48" s="122"/>
    </row>
    <row r="49" ht="18.75" customHeight="1">
      <c r="A49" s="207"/>
      <c r="B49" s="199"/>
      <c r="C49" s="200"/>
      <c r="D49" s="201"/>
      <c r="E49" s="201"/>
      <c r="F49" s="201"/>
      <c r="G49" s="151"/>
      <c r="H49" s="152"/>
      <c r="I49" s="203"/>
      <c r="J49" s="203"/>
      <c r="K49" s="205"/>
      <c r="L49" s="122"/>
      <c r="M49" s="122"/>
      <c r="N49" s="122"/>
      <c r="O49" s="122"/>
      <c r="P49" s="122"/>
    </row>
    <row r="50" ht="18.75" customHeight="1">
      <c r="A50" s="208"/>
      <c r="B50" s="209" t="s">
        <v>38</v>
      </c>
      <c r="C50" s="210"/>
      <c r="D50" s="211"/>
      <c r="E50" s="211"/>
      <c r="F50" s="211"/>
      <c r="G50" s="211"/>
      <c r="H50" s="211"/>
      <c r="I50" s="211"/>
      <c r="J50" s="211"/>
      <c r="K50" s="212"/>
      <c r="L50" s="122"/>
      <c r="M50" s="122"/>
      <c r="N50" s="122"/>
      <c r="O50" s="122"/>
      <c r="P50" s="122"/>
    </row>
    <row r="51" ht="18.75" customHeight="1">
      <c r="A51" s="196"/>
      <c r="B51" s="213"/>
      <c r="C51" s="127"/>
      <c r="D51" s="122"/>
      <c r="E51" s="122"/>
      <c r="F51" s="122"/>
      <c r="G51" s="122"/>
      <c r="H51" s="122"/>
      <c r="I51" s="122"/>
      <c r="J51" s="122"/>
      <c r="K51" s="214"/>
      <c r="L51" s="122"/>
      <c r="M51" s="122"/>
      <c r="N51" s="122"/>
      <c r="O51" s="122"/>
      <c r="P51" s="122"/>
    </row>
    <row r="52" ht="18.75" customHeight="1">
      <c r="A52" s="196"/>
      <c r="B52" s="213"/>
      <c r="C52" s="127"/>
      <c r="D52" s="122"/>
      <c r="E52" s="122"/>
      <c r="F52" s="122"/>
      <c r="G52" s="122"/>
      <c r="H52" s="122"/>
      <c r="I52" s="122"/>
      <c r="J52" s="122"/>
      <c r="K52" s="214"/>
      <c r="L52" s="122"/>
      <c r="M52" s="122"/>
      <c r="N52" s="122"/>
      <c r="O52" s="122"/>
      <c r="P52" s="122"/>
    </row>
    <row r="53" ht="18.75" customHeight="1">
      <c r="A53" s="196"/>
      <c r="B53" s="213"/>
      <c r="C53" s="127"/>
      <c r="D53" s="122"/>
      <c r="E53" s="122"/>
      <c r="F53" s="122"/>
      <c r="G53" s="122"/>
      <c r="H53" s="122"/>
      <c r="I53" s="122"/>
      <c r="J53" s="122"/>
      <c r="K53" s="214"/>
      <c r="L53" s="122"/>
      <c r="M53" s="122"/>
      <c r="N53" s="122"/>
      <c r="O53" s="122"/>
      <c r="P53" s="122"/>
    </row>
    <row r="54" ht="18.75" customHeight="1">
      <c r="A54" s="198">
        <v>45150.0</v>
      </c>
      <c r="B54" s="199"/>
      <c r="C54" s="200"/>
      <c r="D54" s="201" t="s">
        <v>86</v>
      </c>
      <c r="E54" s="201"/>
      <c r="F54" s="201"/>
      <c r="G54" s="202" t="s">
        <v>62</v>
      </c>
      <c r="H54" s="143"/>
      <c r="I54" s="203"/>
      <c r="J54" s="204" t="s">
        <v>69</v>
      </c>
      <c r="K54" s="205">
        <v>660000.0</v>
      </c>
      <c r="L54" s="122"/>
      <c r="M54" s="122"/>
      <c r="N54" s="122"/>
      <c r="O54" s="122"/>
      <c r="P54" s="122"/>
    </row>
    <row r="55" ht="18.75" customHeight="1">
      <c r="A55" s="206"/>
      <c r="B55" s="199"/>
      <c r="C55" s="200"/>
      <c r="D55" s="201" t="s">
        <v>87</v>
      </c>
      <c r="E55" s="201"/>
      <c r="F55" s="201"/>
      <c r="G55" s="148"/>
      <c r="H55" s="149"/>
      <c r="I55" s="203"/>
      <c r="J55" s="204" t="s">
        <v>4</v>
      </c>
      <c r="K55" s="205">
        <v>2400000.0</v>
      </c>
      <c r="L55" s="122"/>
      <c r="M55" s="122"/>
      <c r="N55" s="122"/>
      <c r="O55" s="122"/>
      <c r="P55" s="122"/>
    </row>
    <row r="56" ht="18.75" customHeight="1">
      <c r="A56" s="206"/>
      <c r="B56" s="199"/>
      <c r="C56" s="200"/>
      <c r="D56" s="201"/>
      <c r="E56" s="201"/>
      <c r="F56" s="201"/>
      <c r="G56" s="148"/>
      <c r="H56" s="149"/>
      <c r="I56" s="203"/>
      <c r="J56" s="204" t="s">
        <v>71</v>
      </c>
      <c r="K56" s="205">
        <v>1000000.0</v>
      </c>
      <c r="L56" s="122"/>
      <c r="M56" s="122"/>
      <c r="N56" s="122"/>
      <c r="O56" s="122"/>
      <c r="P56" s="122"/>
    </row>
    <row r="57" ht="18.75" customHeight="1">
      <c r="A57" s="207"/>
      <c r="B57" s="199"/>
      <c r="C57" s="200"/>
      <c r="D57" s="201"/>
      <c r="E57" s="201"/>
      <c r="F57" s="201"/>
      <c r="G57" s="215"/>
      <c r="H57" s="216"/>
      <c r="I57" s="203"/>
      <c r="J57" s="203"/>
      <c r="K57" s="205"/>
      <c r="L57" s="122"/>
      <c r="M57" s="122"/>
      <c r="N57" s="122"/>
      <c r="O57" s="122"/>
      <c r="P57" s="122"/>
    </row>
    <row r="58" ht="18.75" customHeight="1">
      <c r="A58" s="217"/>
      <c r="B58" s="218" t="s">
        <v>88</v>
      </c>
      <c r="C58" s="219"/>
      <c r="D58" s="220" t="s">
        <v>89</v>
      </c>
      <c r="E58" s="220"/>
      <c r="F58" s="220"/>
      <c r="G58" s="220"/>
      <c r="H58" s="220"/>
      <c r="I58" s="221"/>
      <c r="J58" s="221"/>
      <c r="K58" s="222">
        <v>204581.0</v>
      </c>
      <c r="L58" s="122"/>
      <c r="M58" s="122"/>
      <c r="N58" s="122"/>
      <c r="O58" s="122"/>
      <c r="P58" s="122"/>
    </row>
    <row r="59" ht="18.75" customHeight="1">
      <c r="A59" s="223"/>
      <c r="B59" s="224" t="s">
        <v>90</v>
      </c>
      <c r="C59" s="127"/>
      <c r="D59" s="122" t="s">
        <v>91</v>
      </c>
      <c r="E59" s="122"/>
      <c r="F59" s="122"/>
      <c r="G59" s="122"/>
      <c r="H59" s="122"/>
      <c r="I59" s="129"/>
      <c r="J59" s="129"/>
      <c r="K59" s="130"/>
      <c r="L59" s="122"/>
      <c r="M59" s="122"/>
      <c r="N59" s="122"/>
      <c r="O59" s="122"/>
      <c r="P59" s="122"/>
    </row>
    <row r="60" ht="18.75" customHeight="1">
      <c r="A60" s="123"/>
      <c r="B60" s="126"/>
      <c r="C60" s="127"/>
      <c r="D60" s="122"/>
      <c r="E60" s="122"/>
      <c r="F60" s="122"/>
      <c r="G60" s="122"/>
      <c r="H60" s="122"/>
      <c r="I60" s="129"/>
      <c r="J60" s="129"/>
      <c r="K60" s="130"/>
      <c r="L60" s="122"/>
      <c r="M60" s="122"/>
      <c r="N60" s="122"/>
      <c r="O60" s="122"/>
      <c r="P60" s="122"/>
    </row>
    <row r="61" ht="18.75" customHeight="1">
      <c r="A61" s="123"/>
      <c r="B61" s="126"/>
      <c r="C61" s="127"/>
      <c r="D61" s="122"/>
      <c r="E61" s="122"/>
      <c r="F61" s="122"/>
      <c r="G61" s="122"/>
      <c r="H61" s="122"/>
      <c r="I61" s="129"/>
      <c r="J61" s="129"/>
      <c r="K61" s="130"/>
      <c r="L61" s="122"/>
      <c r="M61" s="122"/>
      <c r="N61" s="122"/>
      <c r="O61" s="122"/>
      <c r="P61" s="122"/>
    </row>
    <row r="62" ht="18.75" customHeight="1">
      <c r="A62" s="125">
        <v>45058.0</v>
      </c>
      <c r="B62" s="172"/>
      <c r="C62" s="140"/>
      <c r="D62" s="141" t="s">
        <v>86</v>
      </c>
      <c r="E62" s="141"/>
      <c r="F62" s="141"/>
      <c r="G62" s="142" t="s">
        <v>92</v>
      </c>
      <c r="H62" s="143"/>
      <c r="I62" s="144"/>
      <c r="J62" s="182" t="s">
        <v>69</v>
      </c>
      <c r="K62" s="175">
        <v>104225.0</v>
      </c>
      <c r="L62" s="122"/>
      <c r="M62" s="122"/>
      <c r="N62" s="122"/>
      <c r="O62" s="122"/>
      <c r="P62" s="122"/>
    </row>
    <row r="63" ht="18.75" customHeight="1">
      <c r="A63" s="131"/>
      <c r="B63" s="172"/>
      <c r="C63" s="140"/>
      <c r="D63" s="141" t="s">
        <v>87</v>
      </c>
      <c r="E63" s="141"/>
      <c r="F63" s="141"/>
      <c r="G63" s="148"/>
      <c r="H63" s="149"/>
      <c r="I63" s="144"/>
      <c r="J63" s="182" t="s">
        <v>4</v>
      </c>
      <c r="K63" s="175">
        <v>1770000.0</v>
      </c>
      <c r="L63" s="122"/>
      <c r="M63" s="122"/>
      <c r="N63" s="122"/>
      <c r="O63" s="122"/>
      <c r="P63" s="122"/>
    </row>
    <row r="64" ht="18.75" customHeight="1">
      <c r="A64" s="131"/>
      <c r="B64" s="172"/>
      <c r="C64" s="140"/>
      <c r="D64" s="141"/>
      <c r="E64" s="141"/>
      <c r="F64" s="141"/>
      <c r="G64" s="148"/>
      <c r="H64" s="149"/>
      <c r="I64" s="144"/>
      <c r="J64" s="182" t="s">
        <v>71</v>
      </c>
      <c r="K64" s="175">
        <v>1000000.0</v>
      </c>
      <c r="L64" s="122"/>
      <c r="M64" s="122"/>
      <c r="N64" s="122"/>
      <c r="O64" s="122"/>
      <c r="P64" s="122"/>
    </row>
    <row r="65" ht="18.75" customHeight="1">
      <c r="A65" s="132"/>
      <c r="B65" s="177"/>
      <c r="C65" s="183"/>
      <c r="D65" s="184"/>
      <c r="E65" s="184"/>
      <c r="F65" s="184"/>
      <c r="G65" s="185"/>
      <c r="H65" s="186"/>
      <c r="I65" s="187"/>
      <c r="J65" s="187"/>
      <c r="K65" s="181"/>
      <c r="L65" s="122"/>
      <c r="M65" s="122"/>
      <c r="N65" s="122"/>
      <c r="O65" s="122"/>
      <c r="P65" s="122"/>
    </row>
    <row r="66" ht="18.75" customHeight="1">
      <c r="A66" s="225"/>
      <c r="B66" s="172" t="s">
        <v>10</v>
      </c>
      <c r="C66" s="140"/>
      <c r="D66" s="141"/>
      <c r="E66" s="141"/>
      <c r="F66" s="141"/>
      <c r="G66" s="174" t="s">
        <v>7</v>
      </c>
      <c r="H66" s="226" t="s">
        <v>62</v>
      </c>
      <c r="I66" s="144"/>
      <c r="J66" s="182" t="s">
        <v>69</v>
      </c>
      <c r="K66" s="175">
        <v>5.2E8</v>
      </c>
      <c r="L66" s="122"/>
      <c r="M66" s="122"/>
      <c r="N66" s="122"/>
      <c r="O66" s="122"/>
      <c r="P66" s="122"/>
    </row>
    <row r="67" ht="18.75" customHeight="1">
      <c r="A67" s="225"/>
      <c r="B67" s="172" t="s">
        <v>11</v>
      </c>
      <c r="C67" s="140"/>
      <c r="D67" s="141"/>
      <c r="E67" s="141"/>
      <c r="F67" s="141"/>
      <c r="G67" s="188"/>
      <c r="H67" s="227"/>
      <c r="I67" s="144"/>
      <c r="J67" s="182" t="s">
        <v>4</v>
      </c>
      <c r="K67" s="175">
        <v>1745000.0</v>
      </c>
      <c r="L67" s="122"/>
      <c r="M67" s="122"/>
      <c r="N67" s="122"/>
      <c r="O67" s="122"/>
      <c r="P67" s="122"/>
    </row>
    <row r="68" ht="18.75" customHeight="1">
      <c r="A68" s="225"/>
      <c r="B68" s="172"/>
      <c r="C68" s="189" t="s">
        <v>80</v>
      </c>
      <c r="D68" s="141"/>
      <c r="E68" s="141"/>
      <c r="F68" s="141"/>
      <c r="G68" s="188"/>
      <c r="H68" s="227"/>
      <c r="I68" s="144"/>
      <c r="J68" s="182" t="s">
        <v>71</v>
      </c>
      <c r="K68" s="175">
        <v>386000.0</v>
      </c>
      <c r="L68" s="122"/>
      <c r="M68" s="122"/>
      <c r="N68" s="122"/>
      <c r="O68" s="122"/>
      <c r="P68" s="122"/>
    </row>
    <row r="69" ht="46.5" customHeight="1">
      <c r="A69" s="228">
        <v>45089.0</v>
      </c>
      <c r="B69" s="172"/>
      <c r="C69" s="189" t="s">
        <v>93</v>
      </c>
      <c r="D69" s="141"/>
      <c r="E69" s="141"/>
      <c r="F69" s="141"/>
      <c r="G69" s="188"/>
      <c r="H69" s="229"/>
      <c r="I69" s="144"/>
      <c r="J69" s="144"/>
      <c r="K69" s="175"/>
      <c r="L69" s="122"/>
      <c r="M69" s="122"/>
      <c r="N69" s="122"/>
      <c r="O69" s="122"/>
      <c r="P69" s="122"/>
    </row>
    <row r="70" ht="18.75" customHeight="1">
      <c r="A70" s="230"/>
      <c r="B70" s="231" t="s">
        <v>19</v>
      </c>
      <c r="C70" s="232"/>
      <c r="D70" s="233"/>
      <c r="E70" s="233"/>
      <c r="F70" s="233"/>
      <c r="G70" s="234" t="s">
        <v>94</v>
      </c>
      <c r="H70" s="235" t="s">
        <v>95</v>
      </c>
      <c r="I70" s="236"/>
      <c r="J70" s="237" t="s">
        <v>69</v>
      </c>
      <c r="K70" s="238">
        <v>300000.0</v>
      </c>
      <c r="L70" s="122"/>
      <c r="M70" s="122"/>
      <c r="N70" s="122"/>
      <c r="O70" s="122"/>
      <c r="P70" s="122"/>
    </row>
    <row r="71" ht="18.75" customHeight="1">
      <c r="A71" s="239"/>
      <c r="B71" s="172" t="s">
        <v>20</v>
      </c>
      <c r="C71" s="140"/>
      <c r="D71" s="141"/>
      <c r="E71" s="141"/>
      <c r="F71" s="141"/>
      <c r="G71" s="188"/>
      <c r="H71" s="227"/>
      <c r="I71" s="144"/>
      <c r="J71" s="182" t="s">
        <v>4</v>
      </c>
      <c r="K71" s="175">
        <v>800000.0</v>
      </c>
      <c r="L71" s="122"/>
      <c r="M71" s="122"/>
      <c r="N71" s="122"/>
      <c r="O71" s="122"/>
      <c r="P71" s="122"/>
    </row>
    <row r="72" ht="18.75" customHeight="1">
      <c r="A72" s="239"/>
      <c r="B72" s="172"/>
      <c r="C72" s="140"/>
      <c r="D72" s="141"/>
      <c r="E72" s="141"/>
      <c r="F72" s="141"/>
      <c r="G72" s="188"/>
      <c r="H72" s="227"/>
      <c r="I72" s="144"/>
      <c r="J72" s="182" t="s">
        <v>71</v>
      </c>
      <c r="K72" s="175">
        <v>1000000.0</v>
      </c>
      <c r="L72" s="122"/>
      <c r="M72" s="122"/>
      <c r="N72" s="122"/>
      <c r="O72" s="122"/>
      <c r="P72" s="122"/>
    </row>
    <row r="73" ht="44.25" customHeight="1">
      <c r="A73" s="240" t="s">
        <v>96</v>
      </c>
      <c r="B73" s="177"/>
      <c r="C73" s="183"/>
      <c r="D73" s="184"/>
      <c r="E73" s="184"/>
      <c r="F73" s="184"/>
      <c r="G73" s="192"/>
      <c r="H73" s="229"/>
      <c r="I73" s="187"/>
      <c r="J73" s="187"/>
      <c r="K73" s="181"/>
      <c r="L73" s="122"/>
      <c r="M73" s="122"/>
      <c r="N73" s="122"/>
      <c r="O73" s="122"/>
      <c r="P73" s="122"/>
    </row>
    <row r="74" ht="15.75" customHeight="1">
      <c r="A74" s="241"/>
      <c r="B74" s="127"/>
      <c r="C74" s="127"/>
      <c r="D74" s="122"/>
      <c r="E74" s="122"/>
      <c r="F74" s="122"/>
      <c r="G74" s="122"/>
      <c r="H74" s="122"/>
      <c r="I74" s="122"/>
      <c r="J74" s="122"/>
      <c r="K74" s="242"/>
      <c r="L74" s="122"/>
      <c r="M74" s="122"/>
      <c r="N74" s="122"/>
      <c r="O74" s="122"/>
      <c r="P74" s="122"/>
    </row>
    <row r="75" ht="15.75" customHeight="1">
      <c r="A75" s="241"/>
      <c r="B75" s="243"/>
      <c r="C75" s="127"/>
      <c r="D75" s="122"/>
      <c r="E75" s="122"/>
      <c r="F75" s="122"/>
      <c r="G75" s="122"/>
      <c r="H75" s="122"/>
      <c r="I75" s="122"/>
      <c r="J75" s="122"/>
      <c r="K75" s="242"/>
      <c r="L75" s="122"/>
      <c r="M75" s="122"/>
      <c r="N75" s="122"/>
      <c r="O75" s="122"/>
      <c r="P75" s="122"/>
    </row>
    <row r="76" ht="15.75" customHeight="1">
      <c r="A76" s="241"/>
      <c r="B76" s="243" t="s">
        <v>12</v>
      </c>
      <c r="C76" s="122" t="s">
        <v>97</v>
      </c>
      <c r="D76" s="122"/>
      <c r="E76" s="122"/>
      <c r="F76" s="122"/>
      <c r="G76" s="122"/>
      <c r="H76" s="122"/>
      <c r="I76" s="122"/>
      <c r="J76" s="122"/>
      <c r="K76" s="242"/>
      <c r="L76" s="122"/>
      <c r="M76" s="122"/>
      <c r="N76" s="122"/>
      <c r="O76" s="122"/>
      <c r="P76" s="122"/>
    </row>
    <row r="77" ht="15.75" customHeight="1">
      <c r="A77" s="241"/>
      <c r="B77" s="244" t="s">
        <v>98</v>
      </c>
      <c r="C77" s="127"/>
      <c r="D77" s="122"/>
      <c r="E77" s="122"/>
      <c r="F77" s="122"/>
      <c r="G77" s="122"/>
      <c r="H77" s="122"/>
      <c r="I77" s="122"/>
      <c r="J77" s="122"/>
      <c r="K77" s="242"/>
      <c r="L77" s="122"/>
      <c r="M77" s="122"/>
      <c r="N77" s="122"/>
      <c r="O77" s="122"/>
      <c r="P77" s="122"/>
    </row>
    <row r="78" ht="15.75" customHeight="1">
      <c r="A78" s="241"/>
      <c r="B78" s="243">
        <v>2025.0</v>
      </c>
      <c r="C78" s="127"/>
      <c r="D78" s="122"/>
      <c r="E78" s="122"/>
      <c r="F78" s="122"/>
      <c r="G78" s="122"/>
      <c r="H78" s="122"/>
      <c r="I78" s="122"/>
      <c r="J78" s="122"/>
      <c r="K78" s="242"/>
      <c r="L78" s="122"/>
      <c r="M78" s="122"/>
      <c r="N78" s="122"/>
      <c r="O78" s="122"/>
      <c r="P78" s="122"/>
    </row>
    <row r="79" ht="15.75" customHeight="1">
      <c r="A79" s="241"/>
      <c r="B79" s="245" t="s">
        <v>99</v>
      </c>
      <c r="C79" s="127"/>
      <c r="D79" s="122"/>
      <c r="E79" s="122"/>
      <c r="F79" s="122"/>
      <c r="G79" s="122"/>
      <c r="H79" s="122"/>
      <c r="I79" s="122"/>
      <c r="J79" s="122"/>
      <c r="K79" s="242"/>
      <c r="L79" s="122"/>
      <c r="M79" s="122"/>
      <c r="N79" s="122"/>
      <c r="O79" s="122"/>
      <c r="P79" s="122"/>
    </row>
    <row r="80" ht="15.75" customHeight="1">
      <c r="A80" s="241"/>
      <c r="B80" s="244" t="s">
        <v>100</v>
      </c>
      <c r="C80" s="122" t="s">
        <v>101</v>
      </c>
      <c r="D80" s="122"/>
      <c r="E80" s="122"/>
      <c r="F80" s="122"/>
      <c r="G80" s="122"/>
      <c r="H80" s="122"/>
      <c r="I80" s="122"/>
      <c r="J80" s="122"/>
      <c r="K80" s="242"/>
      <c r="L80" s="122"/>
      <c r="M80" s="122"/>
      <c r="N80" s="122"/>
      <c r="O80" s="122"/>
      <c r="P80" s="122"/>
    </row>
    <row r="81" ht="15.75" customHeight="1">
      <c r="A81" s="241"/>
      <c r="B81" s="127"/>
      <c r="C81" s="127"/>
      <c r="D81" s="122"/>
      <c r="E81" s="122"/>
      <c r="F81" s="122"/>
      <c r="G81" s="122"/>
      <c r="H81" s="122"/>
      <c r="I81" s="122"/>
      <c r="J81" s="122"/>
      <c r="K81" s="242"/>
      <c r="L81" s="122"/>
      <c r="M81" s="122"/>
      <c r="N81" s="122"/>
      <c r="O81" s="122"/>
      <c r="P81" s="122"/>
    </row>
    <row r="82" ht="15.75" customHeight="1">
      <c r="A82" s="241"/>
      <c r="B82" s="243" t="s">
        <v>47</v>
      </c>
      <c r="C82" s="122"/>
      <c r="D82" s="122"/>
      <c r="E82" s="122"/>
      <c r="F82" s="122"/>
      <c r="G82" s="122"/>
      <c r="H82" s="122"/>
      <c r="I82" s="122"/>
      <c r="J82" s="122"/>
      <c r="K82" s="242"/>
      <c r="L82" s="122"/>
      <c r="M82" s="122"/>
      <c r="N82" s="122"/>
      <c r="O82" s="122"/>
      <c r="P82" s="122"/>
    </row>
    <row r="83" ht="15.75" customHeight="1">
      <c r="A83" s="241"/>
      <c r="B83" s="244" t="s">
        <v>102</v>
      </c>
      <c r="C83" s="122"/>
      <c r="D83" s="122"/>
      <c r="E83" s="122"/>
      <c r="F83" s="122"/>
      <c r="G83" s="122"/>
      <c r="H83" s="122"/>
      <c r="I83" s="122"/>
      <c r="J83" s="122"/>
      <c r="K83" s="242"/>
      <c r="L83" s="122"/>
      <c r="M83" s="122"/>
      <c r="N83" s="122"/>
      <c r="O83" s="122"/>
      <c r="P83" s="122"/>
    </row>
    <row r="84" ht="15.75" customHeight="1">
      <c r="A84" s="241"/>
      <c r="B84" s="243" t="s">
        <v>102</v>
      </c>
      <c r="C84" s="122"/>
      <c r="D84" s="122"/>
      <c r="E84" s="122"/>
      <c r="F84" s="122"/>
      <c r="G84" s="122"/>
      <c r="H84" s="122"/>
      <c r="I84" s="122"/>
      <c r="J84" s="122"/>
      <c r="K84" s="242"/>
      <c r="L84" s="122"/>
      <c r="M84" s="122"/>
      <c r="N84" s="122"/>
      <c r="O84" s="122"/>
      <c r="P84" s="122"/>
    </row>
    <row r="85" ht="15.75" customHeight="1">
      <c r="A85" s="241"/>
      <c r="B85" s="245" t="s">
        <v>103</v>
      </c>
      <c r="C85" s="122"/>
      <c r="D85" s="122"/>
      <c r="E85" s="122"/>
      <c r="F85" s="122"/>
      <c r="G85" s="122"/>
      <c r="H85" s="122"/>
      <c r="I85" s="122"/>
      <c r="J85" s="122"/>
      <c r="K85" s="242"/>
      <c r="L85" s="122"/>
      <c r="M85" s="122"/>
      <c r="N85" s="122"/>
      <c r="O85" s="122"/>
      <c r="P85" s="122"/>
    </row>
    <row r="86" ht="15.75" customHeight="1">
      <c r="A86" s="241"/>
      <c r="B86" s="244" t="s">
        <v>104</v>
      </c>
      <c r="C86" s="122" t="s">
        <v>105</v>
      </c>
      <c r="D86" s="122"/>
      <c r="E86" s="122"/>
      <c r="F86" s="122"/>
      <c r="G86" s="122"/>
      <c r="H86" s="122"/>
      <c r="I86" s="122"/>
      <c r="J86" s="122"/>
      <c r="K86" s="242"/>
      <c r="L86" s="122"/>
      <c r="M86" s="122"/>
      <c r="N86" s="122"/>
      <c r="O86" s="122"/>
      <c r="P86" s="122"/>
    </row>
    <row r="87" ht="15.75" customHeight="1">
      <c r="A87" s="241"/>
      <c r="B87" s="127"/>
      <c r="C87" s="127"/>
      <c r="D87" s="122"/>
      <c r="E87" s="122"/>
      <c r="F87" s="122"/>
      <c r="G87" s="122"/>
      <c r="H87" s="122"/>
      <c r="I87" s="122"/>
      <c r="J87" s="122"/>
      <c r="K87" s="242"/>
      <c r="L87" s="122"/>
      <c r="M87" s="122"/>
      <c r="N87" s="122"/>
      <c r="O87" s="122"/>
      <c r="P87" s="122"/>
    </row>
    <row r="88" ht="15.75" customHeight="1">
      <c r="A88" s="241"/>
      <c r="B88" s="127"/>
      <c r="C88" s="127"/>
      <c r="D88" s="122"/>
      <c r="E88" s="122"/>
      <c r="F88" s="122"/>
      <c r="G88" s="122"/>
      <c r="H88" s="122"/>
      <c r="I88" s="122"/>
      <c r="J88" s="122"/>
      <c r="K88" s="242"/>
      <c r="L88" s="122"/>
      <c r="M88" s="122"/>
      <c r="N88" s="122"/>
      <c r="O88" s="122"/>
      <c r="P88" s="122"/>
    </row>
    <row r="89" ht="15.75" customHeight="1">
      <c r="A89" s="241"/>
      <c r="B89" s="243" t="s">
        <v>50</v>
      </c>
      <c r="C89" s="122"/>
      <c r="D89" s="122"/>
      <c r="E89" s="122"/>
      <c r="F89" s="122"/>
      <c r="G89" s="122"/>
      <c r="H89" s="122"/>
      <c r="I89" s="122"/>
      <c r="J89" s="122"/>
      <c r="K89" s="242"/>
      <c r="L89" s="122"/>
      <c r="M89" s="122"/>
      <c r="N89" s="122"/>
      <c r="O89" s="122"/>
      <c r="P89" s="122"/>
    </row>
    <row r="90" ht="15.75" customHeight="1">
      <c r="A90" s="241"/>
      <c r="B90" s="127" t="s">
        <v>102</v>
      </c>
      <c r="C90" s="127"/>
      <c r="D90" s="122"/>
      <c r="E90" s="122"/>
      <c r="F90" s="122"/>
      <c r="G90" s="122"/>
      <c r="H90" s="122"/>
      <c r="I90" s="122"/>
      <c r="J90" s="122"/>
      <c r="K90" s="242"/>
      <c r="L90" s="122"/>
      <c r="M90" s="122"/>
      <c r="N90" s="122"/>
      <c r="O90" s="122"/>
      <c r="P90" s="122"/>
    </row>
    <row r="91" ht="15.75" customHeight="1">
      <c r="A91" s="241"/>
      <c r="B91" s="127" t="s">
        <v>102</v>
      </c>
      <c r="C91" s="127"/>
      <c r="D91" s="122"/>
      <c r="E91" s="122"/>
      <c r="F91" s="122"/>
      <c r="G91" s="122"/>
      <c r="H91" s="122"/>
      <c r="I91" s="122"/>
      <c r="J91" s="122"/>
      <c r="K91" s="242"/>
      <c r="L91" s="122"/>
      <c r="M91" s="122"/>
      <c r="N91" s="122"/>
      <c r="O91" s="122"/>
      <c r="P91" s="122"/>
    </row>
    <row r="92" ht="15.75" customHeight="1">
      <c r="A92" s="241"/>
      <c r="B92" s="245" t="s">
        <v>106</v>
      </c>
      <c r="C92" s="127"/>
      <c r="D92" s="122"/>
      <c r="E92" s="122"/>
      <c r="F92" s="122"/>
      <c r="G92" s="122"/>
      <c r="H92" s="122"/>
      <c r="I92" s="122"/>
      <c r="J92" s="122"/>
      <c r="K92" s="242"/>
      <c r="L92" s="122"/>
      <c r="M92" s="122"/>
      <c r="N92" s="122"/>
      <c r="O92" s="122"/>
      <c r="P92" s="122"/>
    </row>
    <row r="93" ht="15.75" customHeight="1">
      <c r="A93" s="241"/>
      <c r="B93" s="244" t="s">
        <v>60</v>
      </c>
      <c r="C93" s="122" t="s">
        <v>107</v>
      </c>
      <c r="D93" s="122"/>
      <c r="E93" s="122"/>
      <c r="F93" s="122"/>
      <c r="G93" s="122"/>
      <c r="H93" s="122"/>
      <c r="I93" s="122"/>
      <c r="J93" s="122"/>
      <c r="K93" s="242"/>
      <c r="L93" s="122"/>
      <c r="M93" s="122"/>
      <c r="N93" s="122"/>
      <c r="O93" s="122"/>
      <c r="P93" s="122"/>
    </row>
    <row r="94" ht="15.75" customHeight="1">
      <c r="A94" s="241"/>
      <c r="B94" s="127"/>
      <c r="C94" s="127"/>
      <c r="D94" s="122"/>
      <c r="E94" s="122"/>
      <c r="F94" s="122"/>
      <c r="G94" s="122"/>
      <c r="H94" s="122"/>
      <c r="I94" s="122"/>
      <c r="J94" s="122"/>
      <c r="K94" s="242"/>
      <c r="L94" s="122"/>
      <c r="M94" s="122"/>
      <c r="N94" s="122"/>
      <c r="O94" s="122"/>
      <c r="P94" s="122"/>
    </row>
    <row r="95" ht="15.75" customHeight="1">
      <c r="A95" s="241"/>
      <c r="B95" s="127"/>
      <c r="C95" s="127"/>
      <c r="D95" s="122"/>
      <c r="E95" s="122"/>
      <c r="F95" s="122"/>
      <c r="G95" s="122"/>
      <c r="H95" s="122"/>
      <c r="I95" s="122"/>
      <c r="J95" s="122"/>
      <c r="K95" s="242"/>
      <c r="L95" s="122"/>
      <c r="M95" s="122"/>
      <c r="N95" s="122"/>
      <c r="O95" s="122"/>
      <c r="P95" s="122"/>
    </row>
    <row r="96" ht="15.75" customHeight="1">
      <c r="A96" s="241"/>
      <c r="B96" s="127"/>
      <c r="C96" s="127"/>
      <c r="D96" s="122"/>
      <c r="E96" s="122"/>
      <c r="F96" s="122"/>
      <c r="G96" s="122"/>
      <c r="H96" s="122"/>
      <c r="I96" s="122"/>
      <c r="J96" s="122"/>
      <c r="K96" s="242"/>
      <c r="L96" s="122"/>
      <c r="M96" s="122"/>
      <c r="N96" s="122"/>
      <c r="O96" s="122"/>
      <c r="P96" s="122"/>
    </row>
    <row r="97" ht="15.75" customHeight="1">
      <c r="A97" s="241"/>
      <c r="B97" s="127"/>
      <c r="C97" s="127"/>
      <c r="D97" s="122"/>
      <c r="E97" s="122"/>
      <c r="F97" s="122"/>
      <c r="G97" s="122"/>
      <c r="H97" s="122"/>
      <c r="I97" s="122"/>
      <c r="J97" s="122"/>
      <c r="K97" s="242"/>
      <c r="L97" s="122"/>
      <c r="M97" s="122"/>
      <c r="N97" s="122"/>
      <c r="O97" s="122"/>
      <c r="P97" s="122"/>
    </row>
    <row r="98" ht="15.75" customHeight="1">
      <c r="A98" s="246"/>
      <c r="B98" s="247" t="s">
        <v>25</v>
      </c>
      <c r="C98" s="141" t="s">
        <v>108</v>
      </c>
      <c r="D98" s="141"/>
      <c r="E98" s="141"/>
      <c r="F98" s="141"/>
      <c r="G98" s="141"/>
      <c r="H98" s="141"/>
      <c r="I98" s="141"/>
      <c r="J98" s="141"/>
      <c r="K98" s="248"/>
      <c r="L98" s="141"/>
      <c r="M98" s="141"/>
      <c r="N98" s="141"/>
      <c r="O98" s="141"/>
      <c r="P98" s="141"/>
    </row>
    <row r="99" ht="15.75" customHeight="1">
      <c r="A99" s="246"/>
      <c r="B99" s="140" t="s">
        <v>102</v>
      </c>
      <c r="C99" s="140"/>
      <c r="D99" s="141"/>
      <c r="E99" s="141"/>
      <c r="F99" s="141"/>
      <c r="G99" s="141"/>
      <c r="H99" s="141"/>
      <c r="I99" s="141"/>
      <c r="J99" s="141"/>
      <c r="K99" s="248"/>
      <c r="L99" s="141"/>
      <c r="M99" s="141"/>
      <c r="N99" s="141"/>
      <c r="O99" s="141"/>
      <c r="P99" s="141"/>
    </row>
    <row r="100" ht="15.75" customHeight="1">
      <c r="A100" s="246"/>
      <c r="B100" s="249" t="s">
        <v>28</v>
      </c>
      <c r="C100" s="140"/>
      <c r="D100" s="141"/>
      <c r="E100" s="141"/>
      <c r="F100" s="141"/>
      <c r="G100" s="141"/>
      <c r="H100" s="141"/>
      <c r="I100" s="141"/>
      <c r="J100" s="141"/>
      <c r="K100" s="248"/>
      <c r="L100" s="141"/>
      <c r="M100" s="141"/>
      <c r="N100" s="141"/>
      <c r="O100" s="141"/>
      <c r="P100" s="141"/>
    </row>
    <row r="101" ht="15.75" customHeight="1">
      <c r="A101" s="246"/>
      <c r="B101" s="250" t="s">
        <v>27</v>
      </c>
      <c r="C101" s="141" t="s">
        <v>109</v>
      </c>
      <c r="D101" s="141"/>
      <c r="E101" s="141"/>
      <c r="F101" s="141"/>
      <c r="G101" s="141"/>
      <c r="H101" s="141"/>
      <c r="I101" s="141"/>
      <c r="J101" s="141"/>
      <c r="K101" s="248"/>
      <c r="L101" s="141"/>
      <c r="M101" s="141"/>
      <c r="N101" s="141"/>
      <c r="O101" s="141"/>
      <c r="P101" s="141"/>
    </row>
    <row r="102" ht="15.75" customHeight="1">
      <c r="A102" s="246"/>
      <c r="B102" s="140"/>
      <c r="C102" s="140"/>
      <c r="D102" s="141"/>
      <c r="E102" s="141"/>
      <c r="F102" s="141"/>
      <c r="G102" s="141"/>
      <c r="H102" s="141"/>
      <c r="I102" s="141"/>
      <c r="J102" s="141"/>
      <c r="K102" s="248"/>
      <c r="L102" s="141"/>
      <c r="M102" s="141"/>
      <c r="N102" s="141"/>
      <c r="O102" s="141"/>
      <c r="P102" s="141"/>
    </row>
    <row r="103" ht="15.75" customHeight="1">
      <c r="A103" s="241"/>
      <c r="B103" s="243"/>
      <c r="C103" s="122"/>
      <c r="D103" s="122"/>
      <c r="E103" s="122"/>
      <c r="F103" s="122"/>
      <c r="G103" s="122"/>
      <c r="H103" s="122"/>
      <c r="I103" s="122"/>
      <c r="J103" s="122"/>
      <c r="K103" s="242"/>
      <c r="L103" s="122"/>
      <c r="M103" s="122"/>
      <c r="N103" s="122"/>
      <c r="O103" s="122"/>
      <c r="P103" s="122"/>
    </row>
    <row r="104" ht="15.75" customHeight="1">
      <c r="A104" s="241"/>
      <c r="B104" s="243" t="s">
        <v>7</v>
      </c>
      <c r="C104" s="127"/>
      <c r="D104" s="122"/>
      <c r="E104" s="122"/>
      <c r="F104" s="122"/>
      <c r="G104" s="122"/>
      <c r="H104" s="122"/>
      <c r="I104" s="122"/>
      <c r="J104" s="122"/>
      <c r="K104" s="242"/>
      <c r="L104" s="122"/>
      <c r="M104" s="122"/>
      <c r="N104" s="122"/>
      <c r="O104" s="122"/>
      <c r="P104" s="122"/>
    </row>
    <row r="105" ht="15.75" customHeight="1">
      <c r="A105" s="241"/>
      <c r="B105" s="127" t="s">
        <v>102</v>
      </c>
      <c r="C105" s="127"/>
      <c r="D105" s="122"/>
      <c r="E105" s="122"/>
      <c r="F105" s="122"/>
      <c r="G105" s="122"/>
      <c r="H105" s="122"/>
      <c r="I105" s="122"/>
      <c r="J105" s="122"/>
      <c r="K105" s="242"/>
      <c r="L105" s="122"/>
      <c r="M105" s="122"/>
      <c r="N105" s="122"/>
      <c r="O105" s="122"/>
      <c r="P105" s="122"/>
    </row>
    <row r="106" ht="15.75" customHeight="1">
      <c r="A106" s="241"/>
      <c r="B106" s="245" t="s">
        <v>11</v>
      </c>
      <c r="C106" s="127"/>
      <c r="D106" s="122"/>
      <c r="E106" s="122"/>
      <c r="F106" s="122"/>
      <c r="G106" s="122"/>
      <c r="H106" s="122"/>
      <c r="I106" s="122"/>
      <c r="J106" s="122"/>
      <c r="K106" s="242"/>
      <c r="L106" s="122"/>
      <c r="M106" s="122"/>
      <c r="N106" s="122"/>
      <c r="O106" s="122"/>
      <c r="P106" s="122"/>
    </row>
    <row r="107" ht="15.75" customHeight="1">
      <c r="A107" s="241"/>
      <c r="B107" s="244" t="s">
        <v>10</v>
      </c>
      <c r="C107" s="122" t="s">
        <v>110</v>
      </c>
      <c r="D107" s="122"/>
      <c r="E107" s="122"/>
      <c r="F107" s="122"/>
      <c r="G107" s="122"/>
      <c r="H107" s="122"/>
      <c r="I107" s="122"/>
      <c r="J107" s="122"/>
      <c r="K107" s="242"/>
      <c r="L107" s="122"/>
      <c r="M107" s="122"/>
      <c r="N107" s="122"/>
      <c r="O107" s="122"/>
      <c r="P107" s="122"/>
    </row>
    <row r="108" ht="15.75" customHeight="1">
      <c r="A108" s="241"/>
      <c r="B108" s="127"/>
      <c r="C108" s="127"/>
      <c r="D108" s="122"/>
      <c r="E108" s="122"/>
      <c r="F108" s="122"/>
      <c r="G108" s="122"/>
      <c r="H108" s="122"/>
      <c r="I108" s="122"/>
      <c r="J108" s="122"/>
      <c r="K108" s="242"/>
      <c r="L108" s="122"/>
      <c r="M108" s="122"/>
      <c r="N108" s="122"/>
      <c r="O108" s="122"/>
      <c r="P108" s="122"/>
    </row>
    <row r="109" ht="15.75" customHeight="1">
      <c r="A109" s="241"/>
      <c r="B109" s="127"/>
      <c r="C109" s="127"/>
      <c r="D109" s="122"/>
      <c r="E109" s="122"/>
      <c r="F109" s="122"/>
      <c r="G109" s="122"/>
      <c r="H109" s="122"/>
      <c r="I109" s="122"/>
      <c r="J109" s="122"/>
      <c r="K109" s="242"/>
      <c r="L109" s="122"/>
      <c r="M109" s="122"/>
      <c r="N109" s="122"/>
      <c r="O109" s="122"/>
      <c r="P109" s="122"/>
    </row>
    <row r="110" ht="15.75" customHeight="1">
      <c r="A110" s="251"/>
      <c r="B110" s="127" t="s">
        <v>111</v>
      </c>
      <c r="C110" s="127"/>
      <c r="D110" s="122"/>
      <c r="E110" s="122"/>
      <c r="F110" s="122"/>
      <c r="G110" s="122"/>
      <c r="H110" s="122"/>
      <c r="I110" s="122"/>
      <c r="J110" s="122"/>
      <c r="K110" s="242"/>
      <c r="L110" s="122"/>
      <c r="M110" s="122"/>
      <c r="N110" s="122"/>
      <c r="O110" s="122"/>
      <c r="P110" s="122"/>
    </row>
    <row r="111" ht="15.75" customHeight="1">
      <c r="A111" s="251"/>
      <c r="B111" s="127"/>
      <c r="C111" s="127"/>
      <c r="D111" s="122"/>
      <c r="E111" s="122"/>
      <c r="F111" s="122"/>
      <c r="G111" s="122"/>
      <c r="H111" s="122"/>
      <c r="I111" s="252"/>
      <c r="J111" s="252"/>
      <c r="K111" s="253"/>
      <c r="L111" s="122"/>
      <c r="M111" s="122"/>
      <c r="N111" s="122"/>
      <c r="O111" s="122"/>
      <c r="P111" s="122"/>
    </row>
    <row r="112" ht="15.75" customHeight="1">
      <c r="A112" s="251"/>
      <c r="B112" s="127"/>
      <c r="C112" s="127"/>
      <c r="D112" s="122"/>
      <c r="E112" s="122"/>
      <c r="F112" s="122"/>
      <c r="G112" s="122"/>
      <c r="H112" s="122"/>
      <c r="I112" s="254"/>
      <c r="J112" s="252"/>
      <c r="K112" s="253"/>
      <c r="L112" s="122"/>
      <c r="M112" s="122"/>
      <c r="N112" s="122"/>
      <c r="O112" s="122"/>
      <c r="P112" s="122"/>
    </row>
    <row r="113" ht="15.75" customHeight="1">
      <c r="A113" s="251"/>
      <c r="B113" s="127"/>
      <c r="C113" s="127"/>
      <c r="D113" s="122"/>
      <c r="E113" s="122"/>
      <c r="F113" s="122"/>
      <c r="G113" s="122"/>
      <c r="H113" s="122"/>
      <c r="I113" s="255"/>
      <c r="J113" s="255"/>
      <c r="K113" s="255"/>
      <c r="L113" s="122"/>
      <c r="M113" s="122"/>
      <c r="N113" s="122"/>
      <c r="O113" s="122"/>
      <c r="P113" s="122"/>
    </row>
    <row r="114" ht="15.75" customHeight="1">
      <c r="A114" s="251"/>
      <c r="B114" s="127"/>
      <c r="C114" s="127"/>
      <c r="D114" s="122"/>
      <c r="E114" s="122"/>
      <c r="F114" s="122"/>
      <c r="G114" s="122"/>
      <c r="H114" s="122"/>
      <c r="I114" s="255"/>
      <c r="J114" s="255"/>
      <c r="K114" s="255"/>
      <c r="L114" s="122"/>
      <c r="M114" s="122"/>
      <c r="N114" s="122"/>
      <c r="O114" s="122"/>
      <c r="P114" s="122"/>
    </row>
    <row r="115" ht="15.75" customHeight="1">
      <c r="A115" s="251"/>
      <c r="B115" s="127"/>
      <c r="C115" s="127"/>
      <c r="D115" s="122"/>
      <c r="E115" s="122"/>
      <c r="F115" s="122"/>
      <c r="G115" s="122"/>
      <c r="H115" s="122"/>
      <c r="I115" s="252" t="s">
        <v>112</v>
      </c>
      <c r="J115" s="255"/>
      <c r="K115" s="255"/>
      <c r="L115" s="122"/>
      <c r="M115" s="122"/>
      <c r="N115" s="122"/>
      <c r="O115" s="122"/>
      <c r="P115" s="122"/>
    </row>
    <row r="116" ht="18.75" customHeight="1">
      <c r="A116" s="256"/>
      <c r="B116" s="213"/>
      <c r="C116" s="127"/>
      <c r="D116" s="122"/>
      <c r="E116" s="122"/>
      <c r="F116" s="122"/>
      <c r="G116" s="122"/>
      <c r="H116" s="122"/>
      <c r="I116" s="252"/>
      <c r="J116" s="252"/>
      <c r="K116" s="253"/>
      <c r="L116" s="122"/>
      <c r="M116" s="122"/>
      <c r="N116" s="122"/>
      <c r="O116" s="122"/>
      <c r="P116" s="122"/>
    </row>
    <row r="117" ht="18.75" customHeight="1">
      <c r="A117" s="256"/>
      <c r="B117" s="213"/>
      <c r="C117" s="127"/>
      <c r="D117" s="122"/>
      <c r="E117" s="122"/>
      <c r="F117" s="122"/>
      <c r="G117" s="122"/>
      <c r="H117" s="122"/>
      <c r="I117" s="252"/>
      <c r="J117" s="252"/>
      <c r="K117" s="253"/>
      <c r="L117" s="122"/>
      <c r="M117" s="122"/>
      <c r="N117" s="122"/>
      <c r="O117" s="122"/>
      <c r="P117" s="122"/>
    </row>
    <row r="118" ht="18.75" customHeight="1">
      <c r="A118" s="256"/>
      <c r="B118" s="213"/>
      <c r="C118" s="127"/>
      <c r="D118" s="122"/>
      <c r="E118" s="122"/>
      <c r="F118" s="122"/>
      <c r="G118" s="122"/>
      <c r="H118" s="122"/>
      <c r="I118" s="252"/>
      <c r="J118" s="257" t="s">
        <v>0</v>
      </c>
      <c r="K118" s="253" t="s">
        <v>113</v>
      </c>
      <c r="L118" s="122"/>
      <c r="M118" s="122"/>
      <c r="N118" s="122"/>
      <c r="O118" s="122"/>
      <c r="P118" s="122"/>
    </row>
    <row r="119" ht="18.75" customHeight="1">
      <c r="A119" s="256"/>
      <c r="B119" s="213"/>
      <c r="C119" s="127"/>
      <c r="D119" s="122"/>
      <c r="E119" s="122"/>
      <c r="F119" s="122"/>
      <c r="G119" s="122"/>
      <c r="H119" s="122"/>
      <c r="I119" s="258"/>
      <c r="J119" s="259" t="s">
        <v>7</v>
      </c>
      <c r="K119" s="253" t="s">
        <v>80</v>
      </c>
      <c r="L119" s="122"/>
      <c r="M119" s="122"/>
      <c r="N119" s="122"/>
      <c r="O119" s="122"/>
      <c r="P119" s="122"/>
    </row>
    <row r="120" ht="18.75" customHeight="1">
      <c r="A120" s="256"/>
      <c r="B120" s="213"/>
      <c r="C120" s="127"/>
      <c r="D120" s="122"/>
      <c r="E120" s="122"/>
      <c r="F120" s="122"/>
      <c r="G120" s="122"/>
      <c r="H120" s="122"/>
      <c r="I120" s="258"/>
      <c r="J120" s="260" t="s">
        <v>114</v>
      </c>
      <c r="K120" s="253"/>
      <c r="L120" s="122"/>
      <c r="M120" s="122"/>
      <c r="N120" s="122"/>
      <c r="O120" s="122"/>
      <c r="P120" s="122"/>
    </row>
    <row r="121" ht="18.75" customHeight="1">
      <c r="A121" s="256"/>
      <c r="B121" s="213"/>
      <c r="C121" s="127"/>
      <c r="D121" s="122"/>
      <c r="E121" s="122"/>
      <c r="F121" s="122"/>
      <c r="G121" s="122"/>
      <c r="H121" s="122"/>
      <c r="I121" s="258"/>
      <c r="J121" s="261" t="s">
        <v>115</v>
      </c>
      <c r="K121" s="253"/>
      <c r="L121" s="122"/>
      <c r="M121" s="122"/>
      <c r="N121" s="122"/>
      <c r="O121" s="122"/>
      <c r="P121" s="122"/>
    </row>
    <row r="122" ht="18.75" customHeight="1">
      <c r="A122" s="256"/>
      <c r="B122" s="213"/>
      <c r="C122" s="127"/>
      <c r="D122" s="122"/>
      <c r="E122" s="122"/>
      <c r="F122" s="122"/>
      <c r="G122" s="122"/>
      <c r="H122" s="122"/>
      <c r="I122" s="258"/>
      <c r="J122" s="258"/>
      <c r="K122" s="253"/>
      <c r="L122" s="122"/>
      <c r="M122" s="122"/>
      <c r="N122" s="122"/>
      <c r="O122" s="122"/>
      <c r="P122" s="122"/>
    </row>
    <row r="123" ht="18.75" customHeight="1">
      <c r="A123" s="256"/>
      <c r="B123" s="213"/>
      <c r="C123" s="127"/>
      <c r="D123" s="122"/>
      <c r="E123" s="122"/>
      <c r="F123" s="122"/>
      <c r="G123" s="122"/>
      <c r="H123" s="122"/>
      <c r="I123" s="258"/>
      <c r="J123" s="258"/>
      <c r="K123" s="253"/>
      <c r="L123" s="122"/>
      <c r="M123" s="122"/>
      <c r="N123" s="122"/>
      <c r="O123" s="122"/>
      <c r="P123" s="122"/>
    </row>
    <row r="124" ht="18.75" customHeight="1">
      <c r="A124" s="256"/>
      <c r="B124" s="213"/>
      <c r="C124" s="127"/>
      <c r="D124" s="122"/>
      <c r="E124" s="122"/>
      <c r="F124" s="122"/>
      <c r="G124" s="122"/>
      <c r="H124" s="122"/>
      <c r="I124" s="258"/>
      <c r="J124" s="258"/>
      <c r="K124" s="253"/>
      <c r="L124" s="122"/>
      <c r="M124" s="122"/>
      <c r="N124" s="122"/>
      <c r="O124" s="122"/>
      <c r="P124" s="122"/>
    </row>
    <row r="125" ht="18.75" customHeight="1">
      <c r="A125" s="256"/>
      <c r="B125" s="213"/>
      <c r="C125" s="127"/>
      <c r="D125" s="122"/>
      <c r="E125" s="122"/>
      <c r="F125" s="122"/>
      <c r="G125" s="122"/>
      <c r="H125" s="122"/>
      <c r="I125" s="258"/>
      <c r="J125" s="258"/>
      <c r="K125" s="253"/>
      <c r="L125" s="122"/>
      <c r="M125" s="122"/>
      <c r="N125" s="122"/>
      <c r="O125" s="122"/>
      <c r="P125" s="122"/>
    </row>
    <row r="126" ht="18.75" customHeight="1">
      <c r="A126" s="256"/>
      <c r="B126" s="213"/>
      <c r="C126" s="127"/>
      <c r="D126" s="122"/>
      <c r="E126" s="122"/>
      <c r="F126" s="122"/>
      <c r="G126" s="122"/>
      <c r="H126" s="122"/>
      <c r="I126" s="258"/>
      <c r="J126" s="258"/>
      <c r="K126" s="253"/>
      <c r="L126" s="122"/>
      <c r="M126" s="122"/>
      <c r="N126" s="122"/>
      <c r="O126" s="122"/>
      <c r="P126" s="122"/>
    </row>
    <row r="127" ht="18.75" customHeight="1">
      <c r="A127" s="256"/>
      <c r="B127" s="213"/>
      <c r="C127" s="127"/>
      <c r="D127" s="122"/>
      <c r="E127" s="122"/>
      <c r="F127" s="122"/>
      <c r="G127" s="122"/>
      <c r="H127" s="122"/>
      <c r="I127" s="258"/>
      <c r="J127" s="258"/>
      <c r="K127" s="253"/>
      <c r="L127" s="122"/>
      <c r="M127" s="122"/>
      <c r="N127" s="122"/>
      <c r="O127" s="122"/>
      <c r="P127" s="122"/>
    </row>
    <row r="128" ht="18.75" customHeight="1">
      <c r="A128" s="256"/>
      <c r="B128" s="213"/>
      <c r="C128" s="127"/>
      <c r="D128" s="122"/>
      <c r="E128" s="122"/>
      <c r="F128" s="122"/>
      <c r="G128" s="122"/>
      <c r="H128" s="122"/>
      <c r="I128" s="258"/>
      <c r="J128" s="258"/>
      <c r="K128" s="253"/>
      <c r="L128" s="122"/>
      <c r="M128" s="122"/>
      <c r="N128" s="122"/>
      <c r="O128" s="122"/>
      <c r="P128" s="122"/>
    </row>
    <row r="129" ht="18.75" customHeight="1">
      <c r="A129" s="256"/>
      <c r="B129" s="213"/>
      <c r="C129" s="127"/>
      <c r="D129" s="122"/>
      <c r="E129" s="122"/>
      <c r="F129" s="122"/>
      <c r="G129" s="122"/>
      <c r="H129" s="122"/>
      <c r="I129" s="258"/>
      <c r="J129" s="258"/>
      <c r="K129" s="253"/>
      <c r="L129" s="122"/>
      <c r="M129" s="122"/>
      <c r="N129" s="122"/>
      <c r="O129" s="122"/>
      <c r="P129" s="122"/>
    </row>
    <row r="130" ht="18.75" customHeight="1">
      <c r="A130" s="256"/>
      <c r="B130" s="213"/>
      <c r="C130" s="127"/>
      <c r="D130" s="122"/>
      <c r="E130" s="122"/>
      <c r="F130" s="122"/>
      <c r="G130" s="122"/>
      <c r="H130" s="122"/>
      <c r="I130" s="258"/>
      <c r="J130" s="258"/>
      <c r="K130" s="253"/>
      <c r="L130" s="122"/>
      <c r="M130" s="122"/>
      <c r="N130" s="122"/>
      <c r="O130" s="122"/>
      <c r="P130" s="122"/>
    </row>
    <row r="131" ht="18.75" customHeight="1">
      <c r="A131" s="256"/>
      <c r="B131" s="213"/>
      <c r="C131" s="127"/>
      <c r="D131" s="122"/>
      <c r="E131" s="122"/>
      <c r="F131" s="122"/>
      <c r="G131" s="122"/>
      <c r="H131" s="122"/>
      <c r="I131" s="258"/>
      <c r="J131" s="258"/>
      <c r="K131" s="253"/>
      <c r="L131" s="122"/>
      <c r="M131" s="122"/>
      <c r="N131" s="122"/>
      <c r="O131" s="122"/>
      <c r="P131" s="122"/>
    </row>
    <row r="132" ht="18.75" customHeight="1">
      <c r="A132" s="256"/>
      <c r="B132" s="213"/>
      <c r="C132" s="127"/>
      <c r="D132" s="122"/>
      <c r="E132" s="122"/>
      <c r="F132" s="122"/>
      <c r="G132" s="122"/>
      <c r="H132" s="122"/>
      <c r="I132" s="258"/>
      <c r="J132" s="258"/>
      <c r="K132" s="253"/>
      <c r="L132" s="122"/>
      <c r="M132" s="122"/>
      <c r="N132" s="122"/>
      <c r="O132" s="122"/>
      <c r="P132" s="122"/>
    </row>
    <row r="133" ht="18.75" customHeight="1">
      <c r="A133" s="256"/>
      <c r="B133" s="213"/>
      <c r="C133" s="127"/>
      <c r="D133" s="122"/>
      <c r="E133" s="122"/>
      <c r="F133" s="122"/>
      <c r="G133" s="122"/>
      <c r="H133" s="122"/>
      <c r="I133" s="258"/>
      <c r="J133" s="258"/>
      <c r="K133" s="253"/>
      <c r="L133" s="122"/>
      <c r="M133" s="122"/>
      <c r="N133" s="122"/>
      <c r="O133" s="122"/>
      <c r="P133" s="122"/>
    </row>
    <row r="134" ht="18.75" customHeight="1">
      <c r="A134" s="256"/>
      <c r="B134" s="213"/>
      <c r="C134" s="127"/>
      <c r="D134" s="122"/>
      <c r="E134" s="122"/>
      <c r="F134" s="122"/>
      <c r="G134" s="122"/>
      <c r="H134" s="122"/>
      <c r="I134" s="258"/>
      <c r="J134" s="258"/>
      <c r="K134" s="253"/>
      <c r="L134" s="122"/>
      <c r="M134" s="122"/>
      <c r="N134" s="122"/>
      <c r="O134" s="122"/>
      <c r="P134" s="122"/>
    </row>
    <row r="135" ht="18.75" customHeight="1">
      <c r="A135" s="256"/>
      <c r="B135" s="213"/>
      <c r="C135" s="127"/>
      <c r="D135" s="122"/>
      <c r="E135" s="122"/>
      <c r="F135" s="122"/>
      <c r="G135" s="122"/>
      <c r="H135" s="122"/>
      <c r="I135" s="129"/>
      <c r="J135" s="129"/>
      <c r="K135" s="242"/>
      <c r="L135" s="122"/>
      <c r="M135" s="122"/>
      <c r="N135" s="122"/>
      <c r="O135" s="122"/>
      <c r="P135" s="122"/>
    </row>
    <row r="136" ht="18.75" customHeight="1">
      <c r="A136" s="256"/>
      <c r="B136" s="213"/>
      <c r="C136" s="127"/>
      <c r="D136" s="122"/>
      <c r="E136" s="122"/>
      <c r="F136" s="122"/>
      <c r="G136" s="122"/>
      <c r="H136" s="122"/>
      <c r="I136" s="129"/>
      <c r="J136" s="129"/>
      <c r="K136" s="242"/>
      <c r="L136" s="122"/>
      <c r="M136" s="122"/>
      <c r="N136" s="122"/>
      <c r="O136" s="122"/>
      <c r="P136" s="122"/>
    </row>
    <row r="137" ht="18.75" customHeight="1">
      <c r="A137" s="256"/>
      <c r="B137" s="213"/>
      <c r="C137" s="127"/>
      <c r="D137" s="122"/>
      <c r="E137" s="122"/>
      <c r="F137" s="122"/>
      <c r="G137" s="122"/>
      <c r="H137" s="122"/>
      <c r="I137" s="129"/>
      <c r="J137" s="129"/>
      <c r="K137" s="242"/>
      <c r="L137" s="122"/>
      <c r="M137" s="122"/>
      <c r="N137" s="122"/>
      <c r="O137" s="122"/>
      <c r="P137" s="122"/>
    </row>
    <row r="138" ht="18.75" customHeight="1">
      <c r="A138" s="256"/>
      <c r="B138" s="213"/>
      <c r="C138" s="127"/>
      <c r="D138" s="122"/>
      <c r="E138" s="122"/>
      <c r="F138" s="122"/>
      <c r="G138" s="122"/>
      <c r="H138" s="122"/>
      <c r="I138" s="129"/>
      <c r="J138" s="129"/>
      <c r="K138" s="242"/>
      <c r="L138" s="122"/>
      <c r="M138" s="122"/>
      <c r="N138" s="122"/>
      <c r="O138" s="122"/>
      <c r="P138" s="122"/>
    </row>
    <row r="139" ht="18.75" customHeight="1">
      <c r="A139" s="256"/>
      <c r="B139" s="213"/>
      <c r="C139" s="127"/>
      <c r="D139" s="122"/>
      <c r="E139" s="122"/>
      <c r="F139" s="122"/>
      <c r="G139" s="122"/>
      <c r="H139" s="122"/>
      <c r="I139" s="129"/>
      <c r="J139" s="129"/>
      <c r="K139" s="242"/>
      <c r="L139" s="122"/>
      <c r="M139" s="122"/>
      <c r="N139" s="122"/>
      <c r="O139" s="122"/>
      <c r="P139" s="122"/>
    </row>
    <row r="140" ht="18.75" customHeight="1">
      <c r="A140" s="256"/>
      <c r="B140" s="213"/>
      <c r="C140" s="127"/>
      <c r="D140" s="122"/>
      <c r="E140" s="122"/>
      <c r="F140" s="122"/>
      <c r="G140" s="122"/>
      <c r="H140" s="122"/>
      <c r="I140" s="129"/>
      <c r="J140" s="129"/>
      <c r="K140" s="242"/>
      <c r="L140" s="122"/>
      <c r="M140" s="122"/>
      <c r="N140" s="122"/>
      <c r="O140" s="122"/>
      <c r="P140" s="122"/>
    </row>
    <row r="141" ht="18.75" customHeight="1">
      <c r="A141" s="256"/>
      <c r="B141" s="213"/>
      <c r="C141" s="127"/>
      <c r="D141" s="122"/>
      <c r="E141" s="122"/>
      <c r="F141" s="122"/>
      <c r="G141" s="122"/>
      <c r="H141" s="122"/>
      <c r="I141" s="129"/>
      <c r="J141" s="129"/>
      <c r="K141" s="242"/>
      <c r="L141" s="122"/>
      <c r="M141" s="122"/>
      <c r="N141" s="122"/>
      <c r="O141" s="122"/>
      <c r="P141" s="122"/>
    </row>
    <row r="142" ht="18.75" customHeight="1">
      <c r="A142" s="256"/>
      <c r="B142" s="213"/>
      <c r="C142" s="127"/>
      <c r="D142" s="122"/>
      <c r="E142" s="122"/>
      <c r="F142" s="122"/>
      <c r="G142" s="122"/>
      <c r="H142" s="122"/>
      <c r="I142" s="129"/>
      <c r="J142" s="129"/>
      <c r="K142" s="242"/>
      <c r="L142" s="122"/>
      <c r="M142" s="122"/>
      <c r="N142" s="122"/>
      <c r="O142" s="122"/>
      <c r="P142" s="122"/>
    </row>
    <row r="143" ht="18.75" customHeight="1">
      <c r="A143" s="256"/>
      <c r="B143" s="213"/>
      <c r="C143" s="127"/>
      <c r="D143" s="122"/>
      <c r="E143" s="122"/>
      <c r="F143" s="122"/>
      <c r="G143" s="122"/>
      <c r="H143" s="122"/>
      <c r="I143" s="129"/>
      <c r="J143" s="129"/>
      <c r="K143" s="242"/>
      <c r="L143" s="122"/>
      <c r="M143" s="122"/>
      <c r="N143" s="122"/>
      <c r="O143" s="122"/>
      <c r="P143" s="122"/>
    </row>
    <row r="144" ht="18.75" customHeight="1">
      <c r="A144" s="256"/>
      <c r="B144" s="213"/>
      <c r="C144" s="127"/>
      <c r="D144" s="122"/>
      <c r="E144" s="122"/>
      <c r="F144" s="122"/>
      <c r="G144" s="122"/>
      <c r="H144" s="122"/>
      <c r="I144" s="129"/>
      <c r="J144" s="129"/>
      <c r="K144" s="242"/>
      <c r="L144" s="122"/>
      <c r="M144" s="122"/>
      <c r="N144" s="122"/>
      <c r="O144" s="122"/>
      <c r="P144" s="122"/>
    </row>
    <row r="145" ht="18.75" customHeight="1">
      <c r="A145" s="256"/>
      <c r="B145" s="213"/>
      <c r="C145" s="127"/>
      <c r="D145" s="122"/>
      <c r="E145" s="122"/>
      <c r="F145" s="122"/>
      <c r="G145" s="122"/>
      <c r="H145" s="122"/>
      <c r="I145" s="129"/>
      <c r="J145" s="129"/>
      <c r="K145" s="242"/>
      <c r="L145" s="122"/>
      <c r="M145" s="122"/>
      <c r="N145" s="122"/>
      <c r="O145" s="122"/>
      <c r="P145" s="122"/>
    </row>
    <row r="146" ht="18.75" customHeight="1">
      <c r="A146" s="256"/>
      <c r="B146" s="213"/>
      <c r="C146" s="127"/>
      <c r="D146" s="122"/>
      <c r="E146" s="122"/>
      <c r="F146" s="122"/>
      <c r="G146" s="122"/>
      <c r="H146" s="122"/>
      <c r="I146" s="129"/>
      <c r="J146" s="129"/>
      <c r="K146" s="242"/>
      <c r="L146" s="122"/>
      <c r="M146" s="122"/>
      <c r="N146" s="122"/>
      <c r="O146" s="122"/>
      <c r="P146" s="122"/>
    </row>
    <row r="147" ht="18.75" customHeight="1">
      <c r="A147" s="256"/>
      <c r="B147" s="213"/>
      <c r="C147" s="127"/>
      <c r="D147" s="122"/>
      <c r="E147" s="122"/>
      <c r="F147" s="122"/>
      <c r="G147" s="122"/>
      <c r="H147" s="122"/>
      <c r="I147" s="129"/>
      <c r="J147" s="129"/>
      <c r="K147" s="242"/>
      <c r="L147" s="122"/>
      <c r="M147" s="122"/>
      <c r="N147" s="122"/>
      <c r="O147" s="122"/>
      <c r="P147" s="122"/>
    </row>
    <row r="148" ht="18.75" customHeight="1">
      <c r="A148" s="256"/>
      <c r="B148" s="213"/>
      <c r="C148" s="127"/>
      <c r="D148" s="122"/>
      <c r="E148" s="122"/>
      <c r="F148" s="122"/>
      <c r="G148" s="122"/>
      <c r="H148" s="122"/>
      <c r="I148" s="129"/>
      <c r="J148" s="129"/>
      <c r="K148" s="242"/>
      <c r="L148" s="122"/>
      <c r="M148" s="122"/>
      <c r="N148" s="122"/>
      <c r="O148" s="122"/>
      <c r="P148" s="122"/>
    </row>
    <row r="149" ht="18.75" customHeight="1">
      <c r="A149" s="256"/>
      <c r="B149" s="213"/>
      <c r="C149" s="127"/>
      <c r="D149" s="122"/>
      <c r="E149" s="122"/>
      <c r="F149" s="122"/>
      <c r="G149" s="122"/>
      <c r="H149" s="122"/>
      <c r="I149" s="129"/>
      <c r="J149" s="129"/>
      <c r="K149" s="242"/>
      <c r="L149" s="122"/>
      <c r="M149" s="122"/>
      <c r="N149" s="122"/>
      <c r="O149" s="122"/>
      <c r="P149" s="122"/>
    </row>
    <row r="150" ht="18.75" customHeight="1">
      <c r="A150" s="256"/>
      <c r="B150" s="213"/>
      <c r="C150" s="127"/>
      <c r="D150" s="122"/>
      <c r="E150" s="122"/>
      <c r="F150" s="122"/>
      <c r="G150" s="122"/>
      <c r="H150" s="122"/>
      <c r="I150" s="129"/>
      <c r="J150" s="129"/>
      <c r="K150" s="242"/>
      <c r="L150" s="122"/>
      <c r="M150" s="122"/>
      <c r="N150" s="122"/>
      <c r="O150" s="122"/>
      <c r="P150" s="122"/>
    </row>
    <row r="151" ht="18.75" customHeight="1">
      <c r="A151" s="256"/>
      <c r="B151" s="213"/>
      <c r="C151" s="127"/>
      <c r="D151" s="122"/>
      <c r="E151" s="122"/>
      <c r="F151" s="122"/>
      <c r="G151" s="122"/>
      <c r="H151" s="122"/>
      <c r="I151" s="129"/>
      <c r="J151" s="129"/>
      <c r="K151" s="242"/>
      <c r="L151" s="122"/>
      <c r="M151" s="122"/>
      <c r="N151" s="122"/>
      <c r="O151" s="122"/>
      <c r="P151" s="122"/>
    </row>
    <row r="152" ht="18.75" customHeight="1">
      <c r="A152" s="256"/>
      <c r="B152" s="213"/>
      <c r="C152" s="127"/>
      <c r="D152" s="122"/>
      <c r="E152" s="122"/>
      <c r="F152" s="122"/>
      <c r="G152" s="122"/>
      <c r="H152" s="122"/>
      <c r="I152" s="129"/>
      <c r="J152" s="129"/>
      <c r="K152" s="242"/>
      <c r="L152" s="122"/>
      <c r="M152" s="122"/>
      <c r="N152" s="122"/>
      <c r="O152" s="122"/>
      <c r="P152" s="122"/>
    </row>
    <row r="153" ht="18.75" customHeight="1">
      <c r="A153" s="256"/>
      <c r="B153" s="213"/>
      <c r="C153" s="127"/>
      <c r="D153" s="122"/>
      <c r="E153" s="122"/>
      <c r="F153" s="122"/>
      <c r="G153" s="122"/>
      <c r="H153" s="122"/>
      <c r="I153" s="129"/>
      <c r="J153" s="129"/>
      <c r="K153" s="242"/>
      <c r="L153" s="122"/>
      <c r="M153" s="122"/>
      <c r="N153" s="122"/>
      <c r="O153" s="122"/>
      <c r="P153" s="122"/>
    </row>
    <row r="154" ht="18.75" customHeight="1">
      <c r="A154" s="256"/>
      <c r="B154" s="213"/>
      <c r="C154" s="127"/>
      <c r="D154" s="122"/>
      <c r="E154" s="122"/>
      <c r="F154" s="122"/>
      <c r="G154" s="122"/>
      <c r="H154" s="122"/>
      <c r="I154" s="129"/>
      <c r="J154" s="129"/>
      <c r="K154" s="242"/>
      <c r="L154" s="122"/>
      <c r="M154" s="122"/>
      <c r="N154" s="122"/>
      <c r="O154" s="122"/>
      <c r="P154" s="122"/>
    </row>
    <row r="155" ht="18.75" customHeight="1">
      <c r="A155" s="256"/>
      <c r="B155" s="213"/>
      <c r="C155" s="127"/>
      <c r="D155" s="122"/>
      <c r="E155" s="122"/>
      <c r="F155" s="122"/>
      <c r="G155" s="122"/>
      <c r="H155" s="122"/>
      <c r="I155" s="129"/>
      <c r="J155" s="129"/>
      <c r="K155" s="242"/>
      <c r="L155" s="122"/>
      <c r="M155" s="122"/>
      <c r="N155" s="122"/>
      <c r="O155" s="122"/>
      <c r="P155" s="122"/>
    </row>
    <row r="156" ht="18.75" customHeight="1">
      <c r="A156" s="256"/>
      <c r="B156" s="213"/>
      <c r="C156" s="127"/>
      <c r="D156" s="122"/>
      <c r="E156" s="122"/>
      <c r="F156" s="122"/>
      <c r="G156" s="122"/>
      <c r="H156" s="122"/>
      <c r="I156" s="129"/>
      <c r="J156" s="129"/>
      <c r="K156" s="242"/>
      <c r="L156" s="122"/>
      <c r="M156" s="122"/>
      <c r="N156" s="122"/>
      <c r="O156" s="122"/>
      <c r="P156" s="122"/>
    </row>
    <row r="157" ht="18.75" customHeight="1">
      <c r="A157" s="256"/>
      <c r="B157" s="213"/>
      <c r="C157" s="127"/>
      <c r="D157" s="122"/>
      <c r="E157" s="122"/>
      <c r="F157" s="122"/>
      <c r="G157" s="122"/>
      <c r="H157" s="122"/>
      <c r="I157" s="129"/>
      <c r="J157" s="129"/>
      <c r="K157" s="242"/>
      <c r="L157" s="122"/>
      <c r="M157" s="122"/>
      <c r="N157" s="122"/>
      <c r="O157" s="122"/>
      <c r="P157" s="122"/>
    </row>
    <row r="158" ht="18.75" customHeight="1">
      <c r="A158" s="256"/>
      <c r="B158" s="213"/>
      <c r="C158" s="127"/>
      <c r="D158" s="122"/>
      <c r="E158" s="122"/>
      <c r="F158" s="122"/>
      <c r="G158" s="122"/>
      <c r="H158" s="122"/>
      <c r="I158" s="129"/>
      <c r="J158" s="129"/>
      <c r="K158" s="242"/>
      <c r="L158" s="122"/>
      <c r="M158" s="122"/>
      <c r="N158" s="122"/>
      <c r="O158" s="122"/>
      <c r="P158" s="122"/>
    </row>
    <row r="159" ht="18.75" customHeight="1">
      <c r="A159" s="256"/>
      <c r="B159" s="213"/>
      <c r="C159" s="127"/>
      <c r="D159" s="122"/>
      <c r="E159" s="122"/>
      <c r="F159" s="122"/>
      <c r="G159" s="122"/>
      <c r="H159" s="122"/>
      <c r="I159" s="129"/>
      <c r="J159" s="129"/>
      <c r="K159" s="242"/>
      <c r="L159" s="122"/>
      <c r="M159" s="122"/>
      <c r="N159" s="122"/>
      <c r="O159" s="122"/>
      <c r="P159" s="122"/>
    </row>
    <row r="160" ht="18.75" customHeight="1">
      <c r="A160" s="256"/>
      <c r="B160" s="213"/>
      <c r="C160" s="127"/>
      <c r="D160" s="122"/>
      <c r="E160" s="122"/>
      <c r="F160" s="122"/>
      <c r="G160" s="122"/>
      <c r="H160" s="122"/>
      <c r="I160" s="129"/>
      <c r="J160" s="129"/>
      <c r="K160" s="242"/>
      <c r="L160" s="122"/>
      <c r="M160" s="122"/>
      <c r="N160" s="122"/>
      <c r="O160" s="122"/>
      <c r="P160" s="122"/>
    </row>
    <row r="161" ht="18.75" customHeight="1">
      <c r="A161" s="256"/>
      <c r="B161" s="213"/>
      <c r="C161" s="127"/>
      <c r="D161" s="122"/>
      <c r="E161" s="122"/>
      <c r="F161" s="122"/>
      <c r="G161" s="122"/>
      <c r="H161" s="122"/>
      <c r="I161" s="129"/>
      <c r="J161" s="129"/>
      <c r="K161" s="242"/>
      <c r="L161" s="122"/>
      <c r="M161" s="122"/>
      <c r="N161" s="122"/>
      <c r="O161" s="122"/>
      <c r="P161" s="122"/>
    </row>
    <row r="162" ht="18.75" customHeight="1">
      <c r="A162" s="256"/>
      <c r="B162" s="213"/>
      <c r="C162" s="127"/>
      <c r="D162" s="122"/>
      <c r="E162" s="122"/>
      <c r="F162" s="122"/>
      <c r="G162" s="122"/>
      <c r="H162" s="122"/>
      <c r="I162" s="129"/>
      <c r="J162" s="129"/>
      <c r="K162" s="242"/>
      <c r="L162" s="122"/>
      <c r="M162" s="122"/>
      <c r="N162" s="122"/>
      <c r="O162" s="122"/>
      <c r="P162" s="122"/>
    </row>
    <row r="163" ht="18.75" customHeight="1">
      <c r="A163" s="256"/>
      <c r="B163" s="213"/>
      <c r="C163" s="127"/>
      <c r="D163" s="122"/>
      <c r="E163" s="122"/>
      <c r="F163" s="122"/>
      <c r="G163" s="122"/>
      <c r="H163" s="122"/>
      <c r="I163" s="129"/>
      <c r="J163" s="129"/>
      <c r="K163" s="242"/>
      <c r="L163" s="122"/>
      <c r="M163" s="122"/>
      <c r="N163" s="122"/>
      <c r="O163" s="122"/>
      <c r="P163" s="122"/>
    </row>
    <row r="164" ht="18.75" customHeight="1">
      <c r="A164" s="256"/>
      <c r="B164" s="213"/>
      <c r="C164" s="127"/>
      <c r="D164" s="122"/>
      <c r="E164" s="122"/>
      <c r="F164" s="122"/>
      <c r="G164" s="122"/>
      <c r="H164" s="122"/>
      <c r="I164" s="129"/>
      <c r="J164" s="129"/>
      <c r="K164" s="242"/>
      <c r="L164" s="122"/>
      <c r="M164" s="122"/>
      <c r="N164" s="122"/>
      <c r="O164" s="122"/>
      <c r="P164" s="122"/>
    </row>
    <row r="165" ht="18.75" customHeight="1">
      <c r="A165" s="256"/>
      <c r="B165" s="213"/>
      <c r="C165" s="127"/>
      <c r="D165" s="122"/>
      <c r="E165" s="122"/>
      <c r="F165" s="122"/>
      <c r="G165" s="122"/>
      <c r="H165" s="122"/>
      <c r="I165" s="129"/>
      <c r="J165" s="129"/>
      <c r="K165" s="242"/>
      <c r="L165" s="122"/>
      <c r="M165" s="122"/>
      <c r="N165" s="122"/>
      <c r="O165" s="122"/>
      <c r="P165" s="122"/>
    </row>
    <row r="166" ht="18.75" customHeight="1">
      <c r="A166" s="256"/>
      <c r="B166" s="213"/>
      <c r="C166" s="127"/>
      <c r="D166" s="122"/>
      <c r="E166" s="122"/>
      <c r="F166" s="122"/>
      <c r="G166" s="122"/>
      <c r="H166" s="122"/>
      <c r="I166" s="129"/>
      <c r="J166" s="129"/>
      <c r="K166" s="242"/>
      <c r="L166" s="122"/>
      <c r="M166" s="122"/>
      <c r="N166" s="122"/>
      <c r="O166" s="122"/>
      <c r="P166" s="122"/>
    </row>
    <row r="167" ht="18.75" customHeight="1">
      <c r="A167" s="256"/>
      <c r="B167" s="213"/>
      <c r="C167" s="127"/>
      <c r="D167" s="122"/>
      <c r="E167" s="122"/>
      <c r="F167" s="122"/>
      <c r="G167" s="122"/>
      <c r="H167" s="122"/>
      <c r="I167" s="129"/>
      <c r="J167" s="129"/>
      <c r="K167" s="242"/>
      <c r="L167" s="122"/>
      <c r="M167" s="122"/>
      <c r="N167" s="122"/>
      <c r="O167" s="122"/>
      <c r="P167" s="122"/>
    </row>
    <row r="168" ht="18.75" customHeight="1">
      <c r="A168" s="256"/>
      <c r="B168" s="213"/>
      <c r="C168" s="127"/>
      <c r="D168" s="122"/>
      <c r="E168" s="122"/>
      <c r="F168" s="122"/>
      <c r="G168" s="122"/>
      <c r="H168" s="122"/>
      <c r="I168" s="129"/>
      <c r="J168" s="129"/>
      <c r="K168" s="242"/>
      <c r="L168" s="122"/>
      <c r="M168" s="122"/>
      <c r="N168" s="122"/>
      <c r="O168" s="122"/>
      <c r="P168" s="122"/>
    </row>
    <row r="169" ht="18.75" customHeight="1">
      <c r="A169" s="256"/>
      <c r="B169" s="213"/>
      <c r="C169" s="127"/>
      <c r="D169" s="122"/>
      <c r="E169" s="122"/>
      <c r="F169" s="122"/>
      <c r="G169" s="122"/>
      <c r="H169" s="122"/>
      <c r="I169" s="129"/>
      <c r="J169" s="129"/>
      <c r="K169" s="242"/>
      <c r="L169" s="122"/>
      <c r="M169" s="122"/>
      <c r="N169" s="122"/>
      <c r="O169" s="122"/>
      <c r="P169" s="122"/>
    </row>
    <row r="170" ht="18.75" customHeight="1">
      <c r="A170" s="256"/>
      <c r="B170" s="213"/>
      <c r="C170" s="127"/>
      <c r="D170" s="122"/>
      <c r="E170" s="122"/>
      <c r="F170" s="122"/>
      <c r="G170" s="122"/>
      <c r="H170" s="122"/>
      <c r="I170" s="129"/>
      <c r="J170" s="129"/>
      <c r="K170" s="242"/>
      <c r="L170" s="122"/>
      <c r="M170" s="122"/>
      <c r="N170" s="122"/>
      <c r="O170" s="122"/>
      <c r="P170" s="122"/>
    </row>
    <row r="171" ht="18.75" customHeight="1">
      <c r="A171" s="256"/>
      <c r="B171" s="213"/>
      <c r="C171" s="127"/>
      <c r="D171" s="122"/>
      <c r="E171" s="122"/>
      <c r="F171" s="122"/>
      <c r="G171" s="122"/>
      <c r="H171" s="122"/>
      <c r="I171" s="129"/>
      <c r="J171" s="129"/>
      <c r="K171" s="242"/>
      <c r="L171" s="122"/>
      <c r="M171" s="122"/>
      <c r="N171" s="122"/>
      <c r="O171" s="122"/>
      <c r="P171" s="122"/>
    </row>
    <row r="172" ht="18.75" customHeight="1">
      <c r="A172" s="256"/>
      <c r="B172" s="213"/>
      <c r="C172" s="127"/>
      <c r="D172" s="122"/>
      <c r="E172" s="122"/>
      <c r="F172" s="122"/>
      <c r="G172" s="122"/>
      <c r="H172" s="122"/>
      <c r="I172" s="129"/>
      <c r="J172" s="129"/>
      <c r="K172" s="242"/>
      <c r="L172" s="122"/>
      <c r="M172" s="122"/>
      <c r="N172" s="122"/>
      <c r="O172" s="122"/>
      <c r="P172" s="122"/>
    </row>
    <row r="173" ht="18.75" customHeight="1">
      <c r="A173" s="256"/>
      <c r="B173" s="213"/>
      <c r="C173" s="127"/>
      <c r="D173" s="122"/>
      <c r="E173" s="122"/>
      <c r="F173" s="122"/>
      <c r="G173" s="122"/>
      <c r="H173" s="122"/>
      <c r="I173" s="129"/>
      <c r="J173" s="129"/>
      <c r="K173" s="242"/>
      <c r="L173" s="122"/>
      <c r="M173" s="122"/>
      <c r="N173" s="122"/>
      <c r="O173" s="122"/>
      <c r="P173" s="122"/>
    </row>
    <row r="174" ht="18.75" customHeight="1">
      <c r="A174" s="256"/>
      <c r="B174" s="213"/>
      <c r="C174" s="127"/>
      <c r="D174" s="122"/>
      <c r="E174" s="122"/>
      <c r="F174" s="122"/>
      <c r="G174" s="122"/>
      <c r="H174" s="122"/>
      <c r="I174" s="129"/>
      <c r="J174" s="129"/>
      <c r="K174" s="242"/>
      <c r="L174" s="122"/>
      <c r="M174" s="122"/>
      <c r="N174" s="122"/>
      <c r="O174" s="122"/>
      <c r="P174" s="122"/>
    </row>
    <row r="175" ht="18.75" customHeight="1">
      <c r="A175" s="256"/>
      <c r="B175" s="213"/>
      <c r="C175" s="127"/>
      <c r="D175" s="122"/>
      <c r="E175" s="122"/>
      <c r="F175" s="122"/>
      <c r="G175" s="122"/>
      <c r="H175" s="122"/>
      <c r="I175" s="129"/>
      <c r="J175" s="129"/>
      <c r="K175" s="242"/>
      <c r="L175" s="122"/>
      <c r="M175" s="122"/>
      <c r="N175" s="122"/>
      <c r="O175" s="122"/>
      <c r="P175" s="122"/>
    </row>
    <row r="176" ht="18.75" customHeight="1">
      <c r="A176" s="256"/>
      <c r="B176" s="213"/>
      <c r="C176" s="127"/>
      <c r="D176" s="122"/>
      <c r="E176" s="122"/>
      <c r="F176" s="122"/>
      <c r="G176" s="122"/>
      <c r="H176" s="122"/>
      <c r="I176" s="129"/>
      <c r="J176" s="129"/>
      <c r="K176" s="242"/>
      <c r="L176" s="122"/>
      <c r="M176" s="122"/>
      <c r="N176" s="122"/>
      <c r="O176" s="122"/>
      <c r="P176" s="122"/>
    </row>
    <row r="177" ht="18.75" customHeight="1">
      <c r="A177" s="256"/>
      <c r="B177" s="213"/>
      <c r="C177" s="127"/>
      <c r="D177" s="122"/>
      <c r="E177" s="122"/>
      <c r="F177" s="122"/>
      <c r="G177" s="122"/>
      <c r="H177" s="122"/>
      <c r="I177" s="129"/>
      <c r="J177" s="129"/>
      <c r="K177" s="242"/>
      <c r="L177" s="122"/>
      <c r="M177" s="122"/>
      <c r="N177" s="122"/>
      <c r="O177" s="122"/>
      <c r="P177" s="122"/>
    </row>
    <row r="178" ht="18.75" customHeight="1">
      <c r="A178" s="256"/>
      <c r="B178" s="213"/>
      <c r="C178" s="127"/>
      <c r="D178" s="122"/>
      <c r="E178" s="122"/>
      <c r="F178" s="122"/>
      <c r="G178" s="122"/>
      <c r="H178" s="122"/>
      <c r="I178" s="129"/>
      <c r="J178" s="129"/>
      <c r="K178" s="242"/>
      <c r="L178" s="122"/>
      <c r="M178" s="122"/>
      <c r="N178" s="122"/>
      <c r="O178" s="122"/>
      <c r="P178" s="122"/>
    </row>
    <row r="179" ht="18.75" customHeight="1">
      <c r="A179" s="256"/>
      <c r="B179" s="213"/>
      <c r="C179" s="127"/>
      <c r="D179" s="122"/>
      <c r="E179" s="122"/>
      <c r="F179" s="122"/>
      <c r="G179" s="122"/>
      <c r="H179" s="122"/>
      <c r="I179" s="129"/>
      <c r="J179" s="129"/>
      <c r="K179" s="242"/>
      <c r="L179" s="122"/>
      <c r="M179" s="122"/>
      <c r="N179" s="122"/>
      <c r="O179" s="122"/>
      <c r="P179" s="122"/>
    </row>
    <row r="180" ht="18.75" customHeight="1">
      <c r="A180" s="256"/>
      <c r="B180" s="213"/>
      <c r="C180" s="127"/>
      <c r="D180" s="122"/>
      <c r="E180" s="122"/>
      <c r="F180" s="122"/>
      <c r="G180" s="122"/>
      <c r="H180" s="122"/>
      <c r="I180" s="129"/>
      <c r="J180" s="129"/>
      <c r="K180" s="242"/>
      <c r="L180" s="122"/>
      <c r="M180" s="122"/>
      <c r="N180" s="122"/>
      <c r="O180" s="122"/>
      <c r="P180" s="122"/>
    </row>
    <row r="181" ht="18.75" customHeight="1">
      <c r="A181" s="256"/>
      <c r="B181" s="213"/>
      <c r="C181" s="127"/>
      <c r="D181" s="122"/>
      <c r="E181" s="122"/>
      <c r="F181" s="122"/>
      <c r="G181" s="122"/>
      <c r="H181" s="122"/>
      <c r="I181" s="129"/>
      <c r="J181" s="129"/>
      <c r="K181" s="242"/>
      <c r="L181" s="122"/>
      <c r="M181" s="122"/>
      <c r="N181" s="122"/>
      <c r="O181" s="122"/>
      <c r="P181" s="122"/>
    </row>
    <row r="182" ht="18.75" customHeight="1">
      <c r="A182" s="256"/>
      <c r="B182" s="213"/>
      <c r="C182" s="127"/>
      <c r="D182" s="122"/>
      <c r="E182" s="122"/>
      <c r="F182" s="122"/>
      <c r="G182" s="122"/>
      <c r="H182" s="122"/>
      <c r="I182" s="129"/>
      <c r="J182" s="129"/>
      <c r="K182" s="242"/>
      <c r="L182" s="122"/>
      <c r="M182" s="122"/>
      <c r="N182" s="122"/>
      <c r="O182" s="122"/>
      <c r="P182" s="122"/>
    </row>
    <row r="183" ht="18.75" customHeight="1">
      <c r="A183" s="256"/>
      <c r="B183" s="213"/>
      <c r="C183" s="127"/>
      <c r="D183" s="122"/>
      <c r="E183" s="122"/>
      <c r="F183" s="122"/>
      <c r="G183" s="122"/>
      <c r="H183" s="122"/>
      <c r="I183" s="129"/>
      <c r="J183" s="129"/>
      <c r="K183" s="242"/>
      <c r="L183" s="122"/>
      <c r="M183" s="122"/>
      <c r="N183" s="122"/>
      <c r="O183" s="122"/>
      <c r="P183" s="122"/>
    </row>
    <row r="184" ht="18.75" customHeight="1">
      <c r="A184" s="256"/>
      <c r="B184" s="213"/>
      <c r="C184" s="127"/>
      <c r="D184" s="122"/>
      <c r="E184" s="122"/>
      <c r="F184" s="122"/>
      <c r="G184" s="122"/>
      <c r="H184" s="122"/>
      <c r="I184" s="129"/>
      <c r="J184" s="129"/>
      <c r="K184" s="242"/>
      <c r="L184" s="122"/>
      <c r="M184" s="122"/>
      <c r="N184" s="122"/>
      <c r="O184" s="122"/>
      <c r="P184" s="122"/>
    </row>
    <row r="185" ht="18.75" customHeight="1">
      <c r="A185" s="256"/>
      <c r="B185" s="213"/>
      <c r="C185" s="127"/>
      <c r="D185" s="122"/>
      <c r="E185" s="122"/>
      <c r="F185" s="122"/>
      <c r="G185" s="122"/>
      <c r="H185" s="122"/>
      <c r="I185" s="129"/>
      <c r="J185" s="129"/>
      <c r="K185" s="242"/>
      <c r="L185" s="122"/>
      <c r="M185" s="122"/>
      <c r="N185" s="122"/>
      <c r="O185" s="122"/>
      <c r="P185" s="122"/>
    </row>
    <row r="186" ht="18.75" customHeight="1">
      <c r="A186" s="256"/>
      <c r="B186" s="213"/>
      <c r="C186" s="127"/>
      <c r="D186" s="122"/>
      <c r="E186" s="122"/>
      <c r="F186" s="122"/>
      <c r="G186" s="122"/>
      <c r="H186" s="122"/>
      <c r="I186" s="129"/>
      <c r="J186" s="129"/>
      <c r="K186" s="242"/>
      <c r="L186" s="122"/>
      <c r="M186" s="122"/>
      <c r="N186" s="122"/>
      <c r="O186" s="122"/>
      <c r="P186" s="122"/>
    </row>
    <row r="187" ht="18.75" customHeight="1">
      <c r="A187" s="256"/>
      <c r="B187" s="213"/>
      <c r="C187" s="127"/>
      <c r="D187" s="122"/>
      <c r="E187" s="122"/>
      <c r="F187" s="122"/>
      <c r="G187" s="122"/>
      <c r="H187" s="122"/>
      <c r="I187" s="129"/>
      <c r="J187" s="129"/>
      <c r="K187" s="242"/>
      <c r="L187" s="122"/>
      <c r="M187" s="122"/>
      <c r="N187" s="122"/>
      <c r="O187" s="122"/>
      <c r="P187" s="122"/>
    </row>
    <row r="188" ht="18.75" customHeight="1">
      <c r="A188" s="256"/>
      <c r="B188" s="213"/>
      <c r="C188" s="127"/>
      <c r="D188" s="122"/>
      <c r="E188" s="122"/>
      <c r="F188" s="122"/>
      <c r="G188" s="122"/>
      <c r="H188" s="122"/>
      <c r="I188" s="129"/>
      <c r="J188" s="129"/>
      <c r="K188" s="242"/>
      <c r="L188" s="122"/>
      <c r="M188" s="122"/>
      <c r="N188" s="122"/>
      <c r="O188" s="122"/>
      <c r="P188" s="122"/>
    </row>
    <row r="189" ht="18.75" customHeight="1">
      <c r="A189" s="256"/>
      <c r="B189" s="213"/>
      <c r="C189" s="127"/>
      <c r="D189" s="122"/>
      <c r="E189" s="122"/>
      <c r="F189" s="122"/>
      <c r="G189" s="122"/>
      <c r="H189" s="122"/>
      <c r="I189" s="129"/>
      <c r="J189" s="129"/>
      <c r="K189" s="242"/>
      <c r="L189" s="122"/>
      <c r="M189" s="122"/>
      <c r="N189" s="122"/>
      <c r="O189" s="122"/>
      <c r="P189" s="122"/>
    </row>
    <row r="190" ht="18.75" customHeight="1">
      <c r="A190" s="256"/>
      <c r="B190" s="213"/>
      <c r="C190" s="127"/>
      <c r="D190" s="122"/>
      <c r="E190" s="122"/>
      <c r="F190" s="122"/>
      <c r="G190" s="122"/>
      <c r="H190" s="122"/>
      <c r="I190" s="129"/>
      <c r="J190" s="129"/>
      <c r="K190" s="242"/>
      <c r="L190" s="122"/>
      <c r="M190" s="122"/>
      <c r="N190" s="122"/>
      <c r="O190" s="122"/>
      <c r="P190" s="122"/>
    </row>
    <row r="191" ht="18.75" customHeight="1">
      <c r="A191" s="256"/>
      <c r="B191" s="213"/>
      <c r="C191" s="127"/>
      <c r="D191" s="122"/>
      <c r="E191" s="122"/>
      <c r="F191" s="122"/>
      <c r="G191" s="122"/>
      <c r="H191" s="122"/>
      <c r="I191" s="129"/>
      <c r="J191" s="129"/>
      <c r="K191" s="242"/>
      <c r="L191" s="122"/>
      <c r="M191" s="122"/>
      <c r="N191" s="122"/>
      <c r="O191" s="122"/>
      <c r="P191" s="122"/>
    </row>
    <row r="192" ht="18.75" customHeight="1">
      <c r="A192" s="256"/>
      <c r="B192" s="213"/>
      <c r="C192" s="127"/>
      <c r="D192" s="122"/>
      <c r="E192" s="122"/>
      <c r="F192" s="122"/>
      <c r="G192" s="122"/>
      <c r="H192" s="122"/>
      <c r="I192" s="129"/>
      <c r="J192" s="129"/>
      <c r="K192" s="242"/>
      <c r="L192" s="122"/>
      <c r="M192" s="122"/>
      <c r="N192" s="122"/>
      <c r="O192" s="122"/>
      <c r="P192" s="122"/>
    </row>
    <row r="193" ht="18.75" customHeight="1">
      <c r="A193" s="256"/>
      <c r="B193" s="213"/>
      <c r="C193" s="127"/>
      <c r="D193" s="122"/>
      <c r="E193" s="122"/>
      <c r="F193" s="122"/>
      <c r="G193" s="122"/>
      <c r="H193" s="122"/>
      <c r="I193" s="129"/>
      <c r="J193" s="129"/>
      <c r="K193" s="242"/>
      <c r="L193" s="122"/>
      <c r="M193" s="122"/>
      <c r="N193" s="122"/>
      <c r="O193" s="122"/>
      <c r="P193" s="122"/>
    </row>
    <row r="194" ht="18.75" customHeight="1">
      <c r="A194" s="256"/>
      <c r="B194" s="213"/>
      <c r="C194" s="127"/>
      <c r="D194" s="122"/>
      <c r="E194" s="122"/>
      <c r="F194" s="122"/>
      <c r="G194" s="122"/>
      <c r="H194" s="122"/>
      <c r="I194" s="129"/>
      <c r="J194" s="129"/>
      <c r="K194" s="242"/>
      <c r="L194" s="122"/>
      <c r="M194" s="122"/>
      <c r="N194" s="122"/>
      <c r="O194" s="122"/>
      <c r="P194" s="122"/>
    </row>
    <row r="195" ht="18.75" customHeight="1">
      <c r="A195" s="256"/>
      <c r="B195" s="213"/>
      <c r="C195" s="127"/>
      <c r="D195" s="122"/>
      <c r="E195" s="122"/>
      <c r="F195" s="122"/>
      <c r="G195" s="122"/>
      <c r="H195" s="122"/>
      <c r="I195" s="129"/>
      <c r="J195" s="129"/>
      <c r="K195" s="242"/>
      <c r="L195" s="122"/>
      <c r="M195" s="122"/>
      <c r="N195" s="122"/>
      <c r="O195" s="122"/>
      <c r="P195" s="122"/>
    </row>
    <row r="196" ht="18.75" customHeight="1">
      <c r="A196" s="256"/>
      <c r="B196" s="213"/>
      <c r="C196" s="127"/>
      <c r="D196" s="122"/>
      <c r="E196" s="122"/>
      <c r="F196" s="122"/>
      <c r="G196" s="122"/>
      <c r="H196" s="122"/>
      <c r="I196" s="129"/>
      <c r="J196" s="129"/>
      <c r="K196" s="242"/>
      <c r="L196" s="122"/>
      <c r="M196" s="122"/>
      <c r="N196" s="122"/>
      <c r="O196" s="122"/>
      <c r="P196" s="122"/>
    </row>
    <row r="197" ht="18.75" customHeight="1">
      <c r="A197" s="256"/>
      <c r="B197" s="213"/>
      <c r="C197" s="127"/>
      <c r="D197" s="122"/>
      <c r="E197" s="122"/>
      <c r="F197" s="122"/>
      <c r="G197" s="122"/>
      <c r="H197" s="122"/>
      <c r="I197" s="129"/>
      <c r="J197" s="129"/>
      <c r="K197" s="242"/>
      <c r="L197" s="122"/>
      <c r="M197" s="122"/>
      <c r="N197" s="122"/>
      <c r="O197" s="122"/>
      <c r="P197" s="122"/>
    </row>
    <row r="198" ht="18.75" customHeight="1">
      <c r="A198" s="256"/>
      <c r="B198" s="213"/>
      <c r="C198" s="127"/>
      <c r="D198" s="122"/>
      <c r="E198" s="122"/>
      <c r="F198" s="122"/>
      <c r="G198" s="122"/>
      <c r="H198" s="122"/>
      <c r="I198" s="129"/>
      <c r="J198" s="129"/>
      <c r="K198" s="242"/>
      <c r="L198" s="122"/>
      <c r="M198" s="122"/>
      <c r="N198" s="122"/>
      <c r="O198" s="122"/>
      <c r="P198" s="122"/>
    </row>
    <row r="199" ht="18.75" customHeight="1">
      <c r="A199" s="256"/>
      <c r="B199" s="213"/>
      <c r="C199" s="127"/>
      <c r="D199" s="122"/>
      <c r="E199" s="122"/>
      <c r="F199" s="122"/>
      <c r="G199" s="122"/>
      <c r="H199" s="122"/>
      <c r="I199" s="129"/>
      <c r="J199" s="129"/>
      <c r="K199" s="242"/>
      <c r="L199" s="122"/>
      <c r="M199" s="122"/>
      <c r="N199" s="122"/>
      <c r="O199" s="122"/>
      <c r="P199" s="122"/>
    </row>
    <row r="200" ht="18.75" customHeight="1">
      <c r="A200" s="256"/>
      <c r="B200" s="213"/>
      <c r="C200" s="127"/>
      <c r="D200" s="122"/>
      <c r="E200" s="122"/>
      <c r="F200" s="122"/>
      <c r="G200" s="122"/>
      <c r="H200" s="122"/>
      <c r="I200" s="129"/>
      <c r="J200" s="129"/>
      <c r="K200" s="242"/>
      <c r="L200" s="122"/>
      <c r="M200" s="122"/>
      <c r="N200" s="122"/>
      <c r="O200" s="122"/>
      <c r="P200" s="122"/>
    </row>
    <row r="201" ht="18.75" customHeight="1">
      <c r="A201" s="256"/>
      <c r="B201" s="213"/>
      <c r="C201" s="127"/>
      <c r="D201" s="122"/>
      <c r="E201" s="122"/>
      <c r="F201" s="122"/>
      <c r="G201" s="122"/>
      <c r="H201" s="122"/>
      <c r="I201" s="129"/>
      <c r="J201" s="129"/>
      <c r="K201" s="242"/>
      <c r="L201" s="122"/>
      <c r="M201" s="122"/>
      <c r="N201" s="122"/>
      <c r="O201" s="122"/>
      <c r="P201" s="122"/>
    </row>
    <row r="202" ht="18.75" customHeight="1">
      <c r="A202" s="256"/>
      <c r="B202" s="213"/>
      <c r="C202" s="127"/>
      <c r="D202" s="122"/>
      <c r="E202" s="122"/>
      <c r="F202" s="122"/>
      <c r="G202" s="122"/>
      <c r="H202" s="122"/>
      <c r="I202" s="129"/>
      <c r="J202" s="129"/>
      <c r="K202" s="242"/>
      <c r="L202" s="122"/>
      <c r="M202" s="122"/>
      <c r="N202" s="122"/>
      <c r="O202" s="122"/>
      <c r="P202" s="122"/>
    </row>
    <row r="203" ht="18.75" customHeight="1">
      <c r="A203" s="256"/>
      <c r="B203" s="213"/>
      <c r="C203" s="127"/>
      <c r="D203" s="122"/>
      <c r="E203" s="122"/>
      <c r="F203" s="122"/>
      <c r="G203" s="122"/>
      <c r="H203" s="122"/>
      <c r="I203" s="129"/>
      <c r="J203" s="129"/>
      <c r="K203" s="242"/>
      <c r="L203" s="122"/>
      <c r="M203" s="122"/>
      <c r="N203" s="122"/>
      <c r="O203" s="122"/>
      <c r="P203" s="122"/>
    </row>
    <row r="204" ht="18.75" customHeight="1">
      <c r="A204" s="256"/>
      <c r="B204" s="213"/>
      <c r="C204" s="127"/>
      <c r="D204" s="122"/>
      <c r="E204" s="122"/>
      <c r="F204" s="122"/>
      <c r="G204" s="122"/>
      <c r="H204" s="122"/>
      <c r="I204" s="129"/>
      <c r="J204" s="129"/>
      <c r="K204" s="242"/>
      <c r="L204" s="122"/>
      <c r="M204" s="122"/>
      <c r="N204" s="122"/>
      <c r="O204" s="122"/>
      <c r="P204" s="122"/>
    </row>
    <row r="205" ht="18.75" customHeight="1">
      <c r="A205" s="256"/>
      <c r="B205" s="213"/>
      <c r="C205" s="127"/>
      <c r="D205" s="122"/>
      <c r="E205" s="122"/>
      <c r="F205" s="122"/>
      <c r="G205" s="122"/>
      <c r="H205" s="122"/>
      <c r="I205" s="129"/>
      <c r="J205" s="129"/>
      <c r="K205" s="242"/>
      <c r="L205" s="122"/>
      <c r="M205" s="122"/>
      <c r="N205" s="122"/>
      <c r="O205" s="122"/>
      <c r="P205" s="122"/>
    </row>
    <row r="206" ht="18.75" customHeight="1">
      <c r="A206" s="256"/>
      <c r="B206" s="213"/>
      <c r="C206" s="127"/>
      <c r="D206" s="122"/>
      <c r="E206" s="122"/>
      <c r="F206" s="122"/>
      <c r="G206" s="122"/>
      <c r="H206" s="122"/>
      <c r="I206" s="129"/>
      <c r="J206" s="129"/>
      <c r="K206" s="242"/>
      <c r="L206" s="122"/>
      <c r="M206" s="122"/>
      <c r="N206" s="122"/>
      <c r="O206" s="122"/>
      <c r="P206" s="122"/>
    </row>
    <row r="207" ht="18.75" customHeight="1">
      <c r="A207" s="256"/>
      <c r="B207" s="213"/>
      <c r="C207" s="127"/>
      <c r="D207" s="122"/>
      <c r="E207" s="122"/>
      <c r="F207" s="122"/>
      <c r="G207" s="122"/>
      <c r="H207" s="122"/>
      <c r="I207" s="129"/>
      <c r="J207" s="129"/>
      <c r="K207" s="242"/>
      <c r="L207" s="122"/>
      <c r="M207" s="122"/>
      <c r="N207" s="122"/>
      <c r="O207" s="122"/>
      <c r="P207" s="122"/>
    </row>
    <row r="208" ht="18.75" customHeight="1">
      <c r="A208" s="256"/>
      <c r="B208" s="213"/>
      <c r="C208" s="127"/>
      <c r="D208" s="122"/>
      <c r="E208" s="122"/>
      <c r="F208" s="122"/>
      <c r="G208" s="122"/>
      <c r="H208" s="122"/>
      <c r="I208" s="129"/>
      <c r="J208" s="129"/>
      <c r="K208" s="242"/>
      <c r="L208" s="122"/>
      <c r="M208" s="122"/>
      <c r="N208" s="122"/>
      <c r="O208" s="122"/>
      <c r="P208" s="122"/>
    </row>
    <row r="209" ht="18.75" customHeight="1">
      <c r="A209" s="256"/>
      <c r="B209" s="213"/>
      <c r="C209" s="127"/>
      <c r="D209" s="122"/>
      <c r="E209" s="122"/>
      <c r="F209" s="122"/>
      <c r="G209" s="122"/>
      <c r="H209" s="122"/>
      <c r="I209" s="129"/>
      <c r="J209" s="129"/>
      <c r="K209" s="242"/>
      <c r="L209" s="122"/>
      <c r="M209" s="122"/>
      <c r="N209" s="122"/>
      <c r="O209" s="122"/>
      <c r="P209" s="122"/>
    </row>
    <row r="210" ht="18.75" customHeight="1">
      <c r="A210" s="256"/>
      <c r="B210" s="213"/>
      <c r="C210" s="127"/>
      <c r="D210" s="122"/>
      <c r="E210" s="122"/>
      <c r="F210" s="122"/>
      <c r="G210" s="122"/>
      <c r="H210" s="122"/>
      <c r="I210" s="129"/>
      <c r="J210" s="129"/>
      <c r="K210" s="242"/>
      <c r="L210" s="122"/>
      <c r="M210" s="122"/>
      <c r="N210" s="122"/>
      <c r="O210" s="122"/>
      <c r="P210" s="122"/>
    </row>
    <row r="211" ht="18.75" customHeight="1">
      <c r="A211" s="256"/>
      <c r="B211" s="213"/>
      <c r="C211" s="127"/>
      <c r="D211" s="122"/>
      <c r="E211" s="122"/>
      <c r="F211" s="122"/>
      <c r="G211" s="122"/>
      <c r="H211" s="122"/>
      <c r="I211" s="129"/>
      <c r="J211" s="129"/>
      <c r="K211" s="242"/>
      <c r="L211" s="122"/>
      <c r="M211" s="122"/>
      <c r="N211" s="122"/>
      <c r="O211" s="122"/>
      <c r="P211" s="122"/>
    </row>
    <row r="212" ht="18.75" customHeight="1">
      <c r="A212" s="256"/>
      <c r="B212" s="213"/>
      <c r="C212" s="127"/>
      <c r="D212" s="122"/>
      <c r="E212" s="122"/>
      <c r="F212" s="122"/>
      <c r="G212" s="122"/>
      <c r="H212" s="122"/>
      <c r="I212" s="129"/>
      <c r="J212" s="129"/>
      <c r="K212" s="242"/>
      <c r="L212" s="122"/>
      <c r="M212" s="122"/>
      <c r="N212" s="122"/>
      <c r="O212" s="122"/>
      <c r="P212" s="122"/>
    </row>
    <row r="213" ht="18.75" customHeight="1">
      <c r="A213" s="256"/>
      <c r="B213" s="213"/>
      <c r="C213" s="127"/>
      <c r="D213" s="122"/>
      <c r="E213" s="122"/>
      <c r="F213" s="122"/>
      <c r="G213" s="122"/>
      <c r="H213" s="122"/>
      <c r="I213" s="129"/>
      <c r="J213" s="129"/>
      <c r="K213" s="242"/>
      <c r="L213" s="122"/>
      <c r="M213" s="122"/>
      <c r="N213" s="122"/>
      <c r="O213" s="122"/>
      <c r="P213" s="122"/>
    </row>
    <row r="214" ht="18.75" customHeight="1">
      <c r="A214" s="256"/>
      <c r="B214" s="213"/>
      <c r="C214" s="127"/>
      <c r="D214" s="122"/>
      <c r="E214" s="122"/>
      <c r="F214" s="122"/>
      <c r="G214" s="122"/>
      <c r="H214" s="122"/>
      <c r="I214" s="129"/>
      <c r="J214" s="129"/>
      <c r="K214" s="242"/>
      <c r="L214" s="122"/>
      <c r="M214" s="122"/>
      <c r="N214" s="122"/>
      <c r="O214" s="122"/>
      <c r="P214" s="122"/>
    </row>
    <row r="215" ht="18.75" customHeight="1">
      <c r="A215" s="256"/>
      <c r="B215" s="213"/>
      <c r="C215" s="127"/>
      <c r="D215" s="122"/>
      <c r="E215" s="122"/>
      <c r="F215" s="122"/>
      <c r="G215" s="122"/>
      <c r="H215" s="122"/>
      <c r="I215" s="129"/>
      <c r="J215" s="129"/>
      <c r="K215" s="242"/>
      <c r="L215" s="122"/>
      <c r="M215" s="122"/>
      <c r="N215" s="122"/>
      <c r="O215" s="122"/>
      <c r="P215" s="122"/>
    </row>
    <row r="216" ht="18.75" customHeight="1">
      <c r="A216" s="256"/>
      <c r="B216" s="213"/>
      <c r="C216" s="127"/>
      <c r="D216" s="122"/>
      <c r="E216" s="122"/>
      <c r="F216" s="122"/>
      <c r="G216" s="122"/>
      <c r="H216" s="122"/>
      <c r="I216" s="129"/>
      <c r="J216" s="129"/>
      <c r="K216" s="242"/>
      <c r="L216" s="122"/>
      <c r="M216" s="122"/>
      <c r="N216" s="122"/>
      <c r="O216" s="122"/>
      <c r="P216" s="122"/>
    </row>
    <row r="217" ht="18.75" customHeight="1">
      <c r="A217" s="256"/>
      <c r="B217" s="213"/>
      <c r="C217" s="127"/>
      <c r="D217" s="122"/>
      <c r="E217" s="122"/>
      <c r="F217" s="122"/>
      <c r="G217" s="122"/>
      <c r="H217" s="122"/>
      <c r="I217" s="129"/>
      <c r="J217" s="129"/>
      <c r="K217" s="242"/>
      <c r="L217" s="122"/>
      <c r="M217" s="122"/>
      <c r="N217" s="122"/>
      <c r="O217" s="122"/>
      <c r="P217" s="122"/>
    </row>
    <row r="218" ht="18.75" customHeight="1">
      <c r="A218" s="256"/>
      <c r="B218" s="213"/>
      <c r="C218" s="127"/>
      <c r="D218" s="122"/>
      <c r="E218" s="122"/>
      <c r="F218" s="122"/>
      <c r="G218" s="122"/>
      <c r="H218" s="122"/>
      <c r="I218" s="129"/>
      <c r="J218" s="129"/>
      <c r="K218" s="242"/>
      <c r="L218" s="122"/>
      <c r="M218" s="122"/>
      <c r="N218" s="122"/>
      <c r="O218" s="122"/>
      <c r="P218" s="122"/>
    </row>
    <row r="219" ht="18.75" customHeight="1">
      <c r="A219" s="256"/>
      <c r="B219" s="213"/>
      <c r="C219" s="127"/>
      <c r="D219" s="122"/>
      <c r="E219" s="122"/>
      <c r="F219" s="122"/>
      <c r="G219" s="122"/>
      <c r="H219" s="122"/>
      <c r="I219" s="129"/>
      <c r="J219" s="129"/>
      <c r="K219" s="242"/>
      <c r="L219" s="122"/>
      <c r="M219" s="122"/>
      <c r="N219" s="122"/>
      <c r="O219" s="122"/>
      <c r="P219" s="122"/>
    </row>
    <row r="220" ht="18.75" customHeight="1">
      <c r="A220" s="256"/>
      <c r="B220" s="213"/>
      <c r="C220" s="127"/>
      <c r="D220" s="122"/>
      <c r="E220" s="122"/>
      <c r="F220" s="122"/>
      <c r="G220" s="122"/>
      <c r="H220" s="122"/>
      <c r="I220" s="129"/>
      <c r="J220" s="129"/>
      <c r="K220" s="242"/>
      <c r="L220" s="122"/>
      <c r="M220" s="122"/>
      <c r="N220" s="122"/>
      <c r="O220" s="122"/>
      <c r="P220" s="122"/>
    </row>
    <row r="221" ht="18.75" customHeight="1">
      <c r="A221" s="256"/>
      <c r="B221" s="213"/>
      <c r="C221" s="127"/>
      <c r="D221" s="122"/>
      <c r="E221" s="122"/>
      <c r="F221" s="122"/>
      <c r="G221" s="122"/>
      <c r="H221" s="122"/>
      <c r="I221" s="129"/>
      <c r="J221" s="129"/>
      <c r="K221" s="242"/>
      <c r="L221" s="122"/>
      <c r="M221" s="122"/>
      <c r="N221" s="122"/>
      <c r="O221" s="122"/>
      <c r="P221" s="122"/>
    </row>
    <row r="222" ht="18.75" customHeight="1">
      <c r="A222" s="256"/>
      <c r="B222" s="213"/>
      <c r="C222" s="127"/>
      <c r="D222" s="122"/>
      <c r="E222" s="122"/>
      <c r="F222" s="122"/>
      <c r="G222" s="122"/>
      <c r="H222" s="122"/>
      <c r="I222" s="129"/>
      <c r="J222" s="129"/>
      <c r="K222" s="242"/>
      <c r="L222" s="122"/>
      <c r="M222" s="122"/>
      <c r="N222" s="122"/>
      <c r="O222" s="122"/>
      <c r="P222" s="122"/>
    </row>
    <row r="223" ht="18.75" customHeight="1">
      <c r="A223" s="256"/>
      <c r="B223" s="213"/>
      <c r="C223" s="127"/>
      <c r="D223" s="122"/>
      <c r="E223" s="122"/>
      <c r="F223" s="122"/>
      <c r="G223" s="122"/>
      <c r="H223" s="122"/>
      <c r="I223" s="129"/>
      <c r="J223" s="129"/>
      <c r="K223" s="242"/>
      <c r="L223" s="122"/>
      <c r="M223" s="122"/>
      <c r="N223" s="122"/>
      <c r="O223" s="122"/>
      <c r="P223" s="122"/>
    </row>
    <row r="224" ht="18.75" customHeight="1">
      <c r="A224" s="256"/>
      <c r="B224" s="213"/>
      <c r="C224" s="127"/>
      <c r="D224" s="122"/>
      <c r="E224" s="122"/>
      <c r="F224" s="122"/>
      <c r="G224" s="122"/>
      <c r="H224" s="122"/>
      <c r="I224" s="129"/>
      <c r="J224" s="129"/>
      <c r="K224" s="242"/>
      <c r="L224" s="122"/>
      <c r="M224" s="122"/>
      <c r="N224" s="122"/>
      <c r="O224" s="122"/>
      <c r="P224" s="122"/>
    </row>
    <row r="225" ht="18.75" customHeight="1">
      <c r="A225" s="256"/>
      <c r="B225" s="213"/>
      <c r="C225" s="127"/>
      <c r="D225" s="122"/>
      <c r="E225" s="122"/>
      <c r="F225" s="122"/>
      <c r="G225" s="122"/>
      <c r="H225" s="122"/>
      <c r="I225" s="129"/>
      <c r="J225" s="129"/>
      <c r="K225" s="242"/>
      <c r="L225" s="122"/>
      <c r="M225" s="122"/>
      <c r="N225" s="122"/>
      <c r="O225" s="122"/>
      <c r="P225" s="122"/>
    </row>
    <row r="226" ht="18.75" customHeight="1">
      <c r="A226" s="256"/>
      <c r="B226" s="213"/>
      <c r="C226" s="127"/>
      <c r="D226" s="122"/>
      <c r="E226" s="122"/>
      <c r="F226" s="122"/>
      <c r="G226" s="122"/>
      <c r="H226" s="122"/>
      <c r="I226" s="129"/>
      <c r="J226" s="129"/>
      <c r="K226" s="242"/>
      <c r="L226" s="122"/>
      <c r="M226" s="122"/>
      <c r="N226" s="122"/>
      <c r="O226" s="122"/>
      <c r="P226" s="122"/>
    </row>
    <row r="227" ht="18.75" customHeight="1">
      <c r="A227" s="256"/>
      <c r="B227" s="213"/>
      <c r="C227" s="127"/>
      <c r="D227" s="122"/>
      <c r="E227" s="122"/>
      <c r="F227" s="122"/>
      <c r="G227" s="122"/>
      <c r="H227" s="122"/>
      <c r="I227" s="129"/>
      <c r="J227" s="129"/>
      <c r="K227" s="242"/>
      <c r="L227" s="122"/>
      <c r="M227" s="122"/>
      <c r="N227" s="122"/>
      <c r="O227" s="122"/>
      <c r="P227" s="122"/>
    </row>
    <row r="228" ht="18.75" customHeight="1">
      <c r="A228" s="256"/>
      <c r="B228" s="213"/>
      <c r="C228" s="127"/>
      <c r="D228" s="122"/>
      <c r="E228" s="122"/>
      <c r="F228" s="122"/>
      <c r="G228" s="122"/>
      <c r="H228" s="122"/>
      <c r="I228" s="129"/>
      <c r="J228" s="129"/>
      <c r="K228" s="242"/>
      <c r="L228" s="122"/>
      <c r="M228" s="122"/>
      <c r="N228" s="122"/>
      <c r="O228" s="122"/>
      <c r="P228" s="122"/>
    </row>
    <row r="229" ht="18.75" customHeight="1">
      <c r="A229" s="256"/>
      <c r="B229" s="213"/>
      <c r="C229" s="127"/>
      <c r="D229" s="122"/>
      <c r="E229" s="122"/>
      <c r="F229" s="122"/>
      <c r="G229" s="122"/>
      <c r="H229" s="122"/>
      <c r="I229" s="129"/>
      <c r="J229" s="129"/>
      <c r="K229" s="242"/>
      <c r="L229" s="122"/>
      <c r="M229" s="122"/>
      <c r="N229" s="122"/>
      <c r="O229" s="122"/>
      <c r="P229" s="122"/>
    </row>
    <row r="230" ht="18.75" customHeight="1">
      <c r="A230" s="256"/>
      <c r="B230" s="213"/>
      <c r="C230" s="127"/>
      <c r="D230" s="122"/>
      <c r="E230" s="122"/>
      <c r="F230" s="122"/>
      <c r="G230" s="122"/>
      <c r="H230" s="122"/>
      <c r="I230" s="129"/>
      <c r="J230" s="129"/>
      <c r="K230" s="242"/>
      <c r="L230" s="122"/>
      <c r="M230" s="122"/>
      <c r="N230" s="122"/>
      <c r="O230" s="122"/>
      <c r="P230" s="122"/>
    </row>
    <row r="231" ht="18.75" customHeight="1">
      <c r="A231" s="256"/>
      <c r="B231" s="213"/>
      <c r="C231" s="127"/>
      <c r="D231" s="122"/>
      <c r="E231" s="122"/>
      <c r="F231" s="122"/>
      <c r="G231" s="122"/>
      <c r="H231" s="122"/>
      <c r="I231" s="129"/>
      <c r="J231" s="129"/>
      <c r="K231" s="242"/>
      <c r="L231" s="122"/>
      <c r="M231" s="122"/>
      <c r="N231" s="122"/>
      <c r="O231" s="122"/>
      <c r="P231" s="122"/>
    </row>
    <row r="232" ht="18.75" customHeight="1">
      <c r="A232" s="256"/>
      <c r="B232" s="213"/>
      <c r="C232" s="127"/>
      <c r="D232" s="122"/>
      <c r="E232" s="122"/>
      <c r="F232" s="122"/>
      <c r="G232" s="122"/>
      <c r="H232" s="122"/>
      <c r="I232" s="129"/>
      <c r="J232" s="129"/>
      <c r="K232" s="242"/>
      <c r="L232" s="122"/>
      <c r="M232" s="122"/>
      <c r="N232" s="122"/>
      <c r="O232" s="122"/>
      <c r="P232" s="122"/>
    </row>
    <row r="233" ht="18.75" customHeight="1">
      <c r="A233" s="256"/>
      <c r="B233" s="213"/>
      <c r="C233" s="127"/>
      <c r="D233" s="122"/>
      <c r="E233" s="122"/>
      <c r="F233" s="122"/>
      <c r="G233" s="122"/>
      <c r="H233" s="122"/>
      <c r="I233" s="129"/>
      <c r="J233" s="129"/>
      <c r="K233" s="242"/>
      <c r="L233" s="122"/>
      <c r="M233" s="122"/>
      <c r="N233" s="122"/>
      <c r="O233" s="122"/>
      <c r="P233" s="122"/>
    </row>
    <row r="234" ht="18.75" customHeight="1">
      <c r="A234" s="256"/>
      <c r="B234" s="213"/>
      <c r="C234" s="127"/>
      <c r="D234" s="122"/>
      <c r="E234" s="122"/>
      <c r="F234" s="122"/>
      <c r="G234" s="122"/>
      <c r="H234" s="122"/>
      <c r="I234" s="129"/>
      <c r="J234" s="129"/>
      <c r="K234" s="242"/>
      <c r="L234" s="122"/>
      <c r="M234" s="122"/>
      <c r="N234" s="122"/>
      <c r="O234" s="122"/>
      <c r="P234" s="122"/>
    </row>
    <row r="235" ht="18.75" customHeight="1">
      <c r="A235" s="256"/>
      <c r="B235" s="213"/>
      <c r="C235" s="127"/>
      <c r="D235" s="122"/>
      <c r="E235" s="122"/>
      <c r="F235" s="122"/>
      <c r="G235" s="122"/>
      <c r="H235" s="122"/>
      <c r="I235" s="129"/>
      <c r="J235" s="129"/>
      <c r="K235" s="242"/>
      <c r="L235" s="122"/>
      <c r="M235" s="122"/>
      <c r="N235" s="122"/>
      <c r="O235" s="122"/>
      <c r="P235" s="122"/>
    </row>
    <row r="236" ht="18.75" customHeight="1">
      <c r="A236" s="256"/>
      <c r="B236" s="213"/>
      <c r="C236" s="127"/>
      <c r="D236" s="122"/>
      <c r="E236" s="122"/>
      <c r="F236" s="122"/>
      <c r="G236" s="122"/>
      <c r="H236" s="122"/>
      <c r="I236" s="129"/>
      <c r="J236" s="129"/>
      <c r="K236" s="242"/>
      <c r="L236" s="122"/>
      <c r="M236" s="122"/>
      <c r="N236" s="122"/>
      <c r="O236" s="122"/>
      <c r="P236" s="122"/>
    </row>
    <row r="237" ht="18.75" customHeight="1">
      <c r="A237" s="256"/>
      <c r="B237" s="213"/>
      <c r="C237" s="127"/>
      <c r="D237" s="122"/>
      <c r="E237" s="122"/>
      <c r="F237" s="122"/>
      <c r="G237" s="122"/>
      <c r="H237" s="122"/>
      <c r="I237" s="129"/>
      <c r="J237" s="129"/>
      <c r="K237" s="242"/>
      <c r="L237" s="122"/>
      <c r="M237" s="122"/>
      <c r="N237" s="122"/>
      <c r="O237" s="122"/>
      <c r="P237" s="122"/>
    </row>
    <row r="238" ht="18.75" customHeight="1">
      <c r="A238" s="256"/>
      <c r="B238" s="213"/>
      <c r="C238" s="127"/>
      <c r="D238" s="122"/>
      <c r="E238" s="122"/>
      <c r="F238" s="122"/>
      <c r="G238" s="122"/>
      <c r="H238" s="122"/>
      <c r="I238" s="129"/>
      <c r="J238" s="129"/>
      <c r="K238" s="242"/>
      <c r="L238" s="122"/>
      <c r="M238" s="122"/>
      <c r="N238" s="122"/>
      <c r="O238" s="122"/>
      <c r="P238" s="122"/>
    </row>
    <row r="239" ht="18.75" customHeight="1">
      <c r="A239" s="256"/>
      <c r="B239" s="213"/>
      <c r="C239" s="127"/>
      <c r="D239" s="122"/>
      <c r="E239" s="122"/>
      <c r="F239" s="122"/>
      <c r="G239" s="122"/>
      <c r="H239" s="122"/>
      <c r="I239" s="129"/>
      <c r="J239" s="129"/>
      <c r="K239" s="242"/>
      <c r="L239" s="122"/>
      <c r="M239" s="122"/>
      <c r="N239" s="122"/>
      <c r="O239" s="122"/>
      <c r="P239" s="122"/>
    </row>
    <row r="240" ht="18.75" customHeight="1">
      <c r="A240" s="256"/>
      <c r="B240" s="213"/>
      <c r="C240" s="127"/>
      <c r="D240" s="122"/>
      <c r="E240" s="122"/>
      <c r="F240" s="122"/>
      <c r="G240" s="122"/>
      <c r="H240" s="122"/>
      <c r="I240" s="129"/>
      <c r="J240" s="129"/>
      <c r="K240" s="242"/>
      <c r="L240" s="122"/>
      <c r="M240" s="122"/>
      <c r="N240" s="122"/>
      <c r="O240" s="122"/>
      <c r="P240" s="122"/>
    </row>
    <row r="241" ht="18.75" customHeight="1">
      <c r="A241" s="256"/>
      <c r="B241" s="213"/>
      <c r="C241" s="127"/>
      <c r="D241" s="122"/>
      <c r="E241" s="122"/>
      <c r="F241" s="122"/>
      <c r="G241" s="122"/>
      <c r="H241" s="122"/>
      <c r="I241" s="129"/>
      <c r="J241" s="129"/>
      <c r="K241" s="242"/>
      <c r="L241" s="122"/>
      <c r="M241" s="122"/>
      <c r="N241" s="122"/>
      <c r="O241" s="122"/>
      <c r="P241" s="122"/>
    </row>
    <row r="242" ht="18.75" customHeight="1">
      <c r="A242" s="256"/>
      <c r="B242" s="213"/>
      <c r="C242" s="127"/>
      <c r="D242" s="122"/>
      <c r="E242" s="122"/>
      <c r="F242" s="122"/>
      <c r="G242" s="122"/>
      <c r="H242" s="122"/>
      <c r="I242" s="129"/>
      <c r="J242" s="129"/>
      <c r="K242" s="242"/>
      <c r="L242" s="122"/>
      <c r="M242" s="122"/>
      <c r="N242" s="122"/>
      <c r="O242" s="122"/>
      <c r="P242" s="122"/>
    </row>
    <row r="243" ht="18.75" customHeight="1">
      <c r="A243" s="256"/>
      <c r="B243" s="213"/>
      <c r="C243" s="127"/>
      <c r="D243" s="122"/>
      <c r="E243" s="122"/>
      <c r="F243" s="122"/>
      <c r="G243" s="122"/>
      <c r="H243" s="122"/>
      <c r="I243" s="129"/>
      <c r="J243" s="129"/>
      <c r="K243" s="242"/>
      <c r="L243" s="122"/>
      <c r="M243" s="122"/>
      <c r="N243" s="122"/>
      <c r="O243" s="122"/>
      <c r="P243" s="122"/>
    </row>
    <row r="244" ht="18.75" customHeight="1">
      <c r="A244" s="256"/>
      <c r="B244" s="213"/>
      <c r="C244" s="127"/>
      <c r="D244" s="122"/>
      <c r="E244" s="122"/>
      <c r="F244" s="122"/>
      <c r="G244" s="122"/>
      <c r="H244" s="122"/>
      <c r="I244" s="129"/>
      <c r="J244" s="129"/>
      <c r="K244" s="242"/>
      <c r="L244" s="122"/>
      <c r="M244" s="122"/>
      <c r="N244" s="122"/>
      <c r="O244" s="122"/>
      <c r="P244" s="122"/>
    </row>
    <row r="245" ht="18.75" customHeight="1">
      <c r="A245" s="256"/>
      <c r="B245" s="213"/>
      <c r="C245" s="127"/>
      <c r="D245" s="122"/>
      <c r="E245" s="122"/>
      <c r="F245" s="122"/>
      <c r="G245" s="122"/>
      <c r="H245" s="122"/>
      <c r="I245" s="129"/>
      <c r="J245" s="129"/>
      <c r="K245" s="242"/>
      <c r="L245" s="122"/>
      <c r="M245" s="122"/>
      <c r="N245" s="122"/>
      <c r="O245" s="122"/>
      <c r="P245" s="122"/>
    </row>
    <row r="246" ht="18.75" customHeight="1">
      <c r="A246" s="256"/>
      <c r="B246" s="213"/>
      <c r="C246" s="127"/>
      <c r="D246" s="122"/>
      <c r="E246" s="122"/>
      <c r="F246" s="122"/>
      <c r="G246" s="122"/>
      <c r="H246" s="122"/>
      <c r="I246" s="129"/>
      <c r="J246" s="129"/>
      <c r="K246" s="242"/>
      <c r="L246" s="122"/>
      <c r="M246" s="122"/>
      <c r="N246" s="122"/>
      <c r="O246" s="122"/>
      <c r="P246" s="122"/>
    </row>
    <row r="247" ht="18.75" customHeight="1">
      <c r="A247" s="256"/>
      <c r="B247" s="213"/>
      <c r="C247" s="127"/>
      <c r="D247" s="122"/>
      <c r="E247" s="122"/>
      <c r="F247" s="122"/>
      <c r="G247" s="122"/>
      <c r="H247" s="122"/>
      <c r="I247" s="129"/>
      <c r="J247" s="129"/>
      <c r="K247" s="242"/>
      <c r="L247" s="122"/>
      <c r="M247" s="122"/>
      <c r="N247" s="122"/>
      <c r="O247" s="122"/>
      <c r="P247" s="122"/>
    </row>
    <row r="248" ht="18.75" customHeight="1">
      <c r="A248" s="256"/>
      <c r="B248" s="213"/>
      <c r="C248" s="127"/>
      <c r="D248" s="122"/>
      <c r="E248" s="122"/>
      <c r="F248" s="122"/>
      <c r="G248" s="122"/>
      <c r="H248" s="122"/>
      <c r="I248" s="129"/>
      <c r="J248" s="129"/>
      <c r="K248" s="242"/>
      <c r="L248" s="122"/>
      <c r="M248" s="122"/>
      <c r="N248" s="122"/>
      <c r="O248" s="122"/>
      <c r="P248" s="122"/>
    </row>
    <row r="249" ht="18.75" customHeight="1">
      <c r="A249" s="256"/>
      <c r="B249" s="213"/>
      <c r="C249" s="127"/>
      <c r="D249" s="122"/>
      <c r="E249" s="122"/>
      <c r="F249" s="122"/>
      <c r="G249" s="122"/>
      <c r="H249" s="122"/>
      <c r="I249" s="129"/>
      <c r="J249" s="129"/>
      <c r="K249" s="242"/>
      <c r="L249" s="122"/>
      <c r="M249" s="122"/>
      <c r="N249" s="122"/>
      <c r="O249" s="122"/>
      <c r="P249" s="122"/>
    </row>
    <row r="250" ht="18.75" customHeight="1">
      <c r="A250" s="256"/>
      <c r="B250" s="213"/>
      <c r="C250" s="127"/>
      <c r="D250" s="122"/>
      <c r="E250" s="122"/>
      <c r="F250" s="122"/>
      <c r="G250" s="122"/>
      <c r="H250" s="122"/>
      <c r="I250" s="129"/>
      <c r="J250" s="129"/>
      <c r="K250" s="242"/>
      <c r="L250" s="122"/>
      <c r="M250" s="122"/>
      <c r="N250" s="122"/>
      <c r="O250" s="122"/>
      <c r="P250" s="122"/>
    </row>
    <row r="251" ht="18.75" customHeight="1">
      <c r="A251" s="256"/>
      <c r="B251" s="213"/>
      <c r="C251" s="127"/>
      <c r="D251" s="122"/>
      <c r="E251" s="122"/>
      <c r="F251" s="122"/>
      <c r="G251" s="122"/>
      <c r="H251" s="122"/>
      <c r="I251" s="129"/>
      <c r="J251" s="129"/>
      <c r="K251" s="242"/>
      <c r="L251" s="122"/>
      <c r="M251" s="122"/>
      <c r="N251" s="122"/>
      <c r="O251" s="122"/>
      <c r="P251" s="122"/>
    </row>
    <row r="252" ht="18.75" customHeight="1">
      <c r="A252" s="256"/>
      <c r="B252" s="213"/>
      <c r="C252" s="127"/>
      <c r="D252" s="122"/>
      <c r="E252" s="122"/>
      <c r="F252" s="122"/>
      <c r="G252" s="122"/>
      <c r="H252" s="122"/>
      <c r="I252" s="129"/>
      <c r="J252" s="129"/>
      <c r="K252" s="242"/>
      <c r="L252" s="122"/>
      <c r="M252" s="122"/>
      <c r="N252" s="122"/>
      <c r="O252" s="122"/>
      <c r="P252" s="122"/>
    </row>
    <row r="253" ht="18.75" customHeight="1">
      <c r="A253" s="256"/>
      <c r="B253" s="213"/>
      <c r="C253" s="127"/>
      <c r="D253" s="122"/>
      <c r="E253" s="122"/>
      <c r="F253" s="122"/>
      <c r="G253" s="122"/>
      <c r="H253" s="122"/>
      <c r="I253" s="129"/>
      <c r="J253" s="129"/>
      <c r="K253" s="242"/>
      <c r="L253" s="122"/>
      <c r="M253" s="122"/>
      <c r="N253" s="122"/>
      <c r="O253" s="122"/>
      <c r="P253" s="122"/>
    </row>
    <row r="254" ht="18.75" customHeight="1">
      <c r="A254" s="256"/>
      <c r="B254" s="213"/>
      <c r="C254" s="127"/>
      <c r="D254" s="122"/>
      <c r="E254" s="122"/>
      <c r="F254" s="122"/>
      <c r="G254" s="122"/>
      <c r="H254" s="122"/>
      <c r="I254" s="129"/>
      <c r="J254" s="129"/>
      <c r="K254" s="242"/>
      <c r="L254" s="122"/>
      <c r="M254" s="122"/>
      <c r="N254" s="122"/>
      <c r="O254" s="122"/>
      <c r="P254" s="122"/>
    </row>
    <row r="255" ht="18.75" customHeight="1">
      <c r="A255" s="256"/>
      <c r="B255" s="213"/>
      <c r="C255" s="127"/>
      <c r="D255" s="122"/>
      <c r="E255" s="122"/>
      <c r="F255" s="122"/>
      <c r="G255" s="122"/>
      <c r="H255" s="122"/>
      <c r="I255" s="129"/>
      <c r="J255" s="129"/>
      <c r="K255" s="242"/>
      <c r="L255" s="122"/>
      <c r="M255" s="122"/>
      <c r="N255" s="122"/>
      <c r="O255" s="122"/>
      <c r="P255" s="122"/>
    </row>
    <row r="256" ht="18.75" customHeight="1">
      <c r="A256" s="256"/>
      <c r="B256" s="213"/>
      <c r="C256" s="127"/>
      <c r="D256" s="122"/>
      <c r="E256" s="122"/>
      <c r="F256" s="122"/>
      <c r="G256" s="122"/>
      <c r="H256" s="122"/>
      <c r="I256" s="129"/>
      <c r="J256" s="129"/>
      <c r="K256" s="242"/>
      <c r="L256" s="122"/>
      <c r="M256" s="122"/>
      <c r="N256" s="122"/>
      <c r="O256" s="122"/>
      <c r="P256" s="122"/>
    </row>
    <row r="257" ht="18.75" customHeight="1">
      <c r="A257" s="256"/>
      <c r="B257" s="213"/>
      <c r="C257" s="127"/>
      <c r="D257" s="122"/>
      <c r="E257" s="122"/>
      <c r="F257" s="122"/>
      <c r="G257" s="122"/>
      <c r="H257" s="122"/>
      <c r="I257" s="129"/>
      <c r="J257" s="129"/>
      <c r="K257" s="242"/>
      <c r="L257" s="122"/>
      <c r="M257" s="122"/>
      <c r="N257" s="122"/>
      <c r="O257" s="122"/>
      <c r="P257" s="122"/>
    </row>
    <row r="258" ht="18.75" customHeight="1">
      <c r="A258" s="256"/>
      <c r="B258" s="213"/>
      <c r="C258" s="127"/>
      <c r="D258" s="122"/>
      <c r="E258" s="122"/>
      <c r="F258" s="122"/>
      <c r="G258" s="122"/>
      <c r="H258" s="122"/>
      <c r="I258" s="129"/>
      <c r="J258" s="129"/>
      <c r="K258" s="242"/>
      <c r="L258" s="122"/>
      <c r="M258" s="122"/>
      <c r="N258" s="122"/>
      <c r="O258" s="122"/>
      <c r="P258" s="122"/>
    </row>
    <row r="259" ht="18.75" customHeight="1">
      <c r="A259" s="256"/>
      <c r="B259" s="213"/>
      <c r="C259" s="127"/>
      <c r="D259" s="122"/>
      <c r="E259" s="122"/>
      <c r="F259" s="122"/>
      <c r="G259" s="122"/>
      <c r="H259" s="122"/>
      <c r="I259" s="129"/>
      <c r="J259" s="129"/>
      <c r="K259" s="242"/>
      <c r="L259" s="122"/>
      <c r="M259" s="122"/>
      <c r="N259" s="122"/>
      <c r="O259" s="122"/>
      <c r="P259" s="122"/>
    </row>
    <row r="260" ht="18.75" customHeight="1">
      <c r="A260" s="256"/>
      <c r="B260" s="213"/>
      <c r="C260" s="127"/>
      <c r="D260" s="122"/>
      <c r="E260" s="122"/>
      <c r="F260" s="122"/>
      <c r="G260" s="122"/>
      <c r="H260" s="122"/>
      <c r="I260" s="129"/>
      <c r="J260" s="129"/>
      <c r="K260" s="242"/>
      <c r="L260" s="122"/>
      <c r="M260" s="122"/>
      <c r="N260" s="122"/>
      <c r="O260" s="122"/>
      <c r="P260" s="122"/>
    </row>
    <row r="261" ht="18.75" customHeight="1">
      <c r="A261" s="256"/>
      <c r="B261" s="213"/>
      <c r="C261" s="127"/>
      <c r="D261" s="122"/>
      <c r="E261" s="122"/>
      <c r="F261" s="122"/>
      <c r="G261" s="122"/>
      <c r="H261" s="122"/>
      <c r="I261" s="129"/>
      <c r="J261" s="129"/>
      <c r="K261" s="242"/>
      <c r="L261" s="122"/>
      <c r="M261" s="122"/>
      <c r="N261" s="122"/>
      <c r="O261" s="122"/>
      <c r="P261" s="122"/>
    </row>
    <row r="262" ht="18.75" customHeight="1">
      <c r="A262" s="256"/>
      <c r="B262" s="213"/>
      <c r="C262" s="127"/>
      <c r="D262" s="122"/>
      <c r="E262" s="122"/>
      <c r="F262" s="122"/>
      <c r="G262" s="122"/>
      <c r="H262" s="122"/>
      <c r="I262" s="129"/>
      <c r="J262" s="129"/>
      <c r="K262" s="242"/>
      <c r="L262" s="122"/>
      <c r="M262" s="122"/>
      <c r="N262" s="122"/>
      <c r="O262" s="122"/>
      <c r="P262" s="122"/>
    </row>
    <row r="263" ht="18.75" customHeight="1">
      <c r="A263" s="256"/>
      <c r="B263" s="213"/>
      <c r="C263" s="127"/>
      <c r="D263" s="122"/>
      <c r="E263" s="122"/>
      <c r="F263" s="122"/>
      <c r="G263" s="122"/>
      <c r="H263" s="122"/>
      <c r="I263" s="129"/>
      <c r="J263" s="129"/>
      <c r="K263" s="242"/>
      <c r="L263" s="122"/>
      <c r="M263" s="122"/>
      <c r="N263" s="122"/>
      <c r="O263" s="122"/>
      <c r="P263" s="122"/>
    </row>
    <row r="264" ht="18.75" customHeight="1">
      <c r="A264" s="256"/>
      <c r="B264" s="213"/>
      <c r="C264" s="127"/>
      <c r="D264" s="122"/>
      <c r="E264" s="122"/>
      <c r="F264" s="122"/>
      <c r="G264" s="122"/>
      <c r="H264" s="122"/>
      <c r="I264" s="129"/>
      <c r="J264" s="129"/>
      <c r="K264" s="242"/>
      <c r="L264" s="122"/>
      <c r="M264" s="122"/>
      <c r="N264" s="122"/>
      <c r="O264" s="122"/>
      <c r="P264" s="122"/>
    </row>
    <row r="265" ht="18.75" customHeight="1">
      <c r="A265" s="256"/>
      <c r="B265" s="213"/>
      <c r="C265" s="127"/>
      <c r="D265" s="122"/>
      <c r="E265" s="122"/>
      <c r="F265" s="122"/>
      <c r="G265" s="122"/>
      <c r="H265" s="122"/>
      <c r="I265" s="129"/>
      <c r="J265" s="129"/>
      <c r="K265" s="242"/>
      <c r="L265" s="122"/>
      <c r="M265" s="122"/>
      <c r="N265" s="122"/>
      <c r="O265" s="122"/>
      <c r="P265" s="122"/>
    </row>
    <row r="266" ht="18.75" customHeight="1">
      <c r="A266" s="256"/>
      <c r="B266" s="213"/>
      <c r="C266" s="127"/>
      <c r="D266" s="122"/>
      <c r="E266" s="122"/>
      <c r="F266" s="122"/>
      <c r="G266" s="122"/>
      <c r="H266" s="122"/>
      <c r="I266" s="129"/>
      <c r="J266" s="129"/>
      <c r="K266" s="242"/>
      <c r="L266" s="122"/>
      <c r="M266" s="122"/>
      <c r="N266" s="122"/>
      <c r="O266" s="122"/>
      <c r="P266" s="122"/>
    </row>
    <row r="267" ht="18.75" customHeight="1">
      <c r="A267" s="256"/>
      <c r="B267" s="213"/>
      <c r="C267" s="127"/>
      <c r="D267" s="122"/>
      <c r="E267" s="122"/>
      <c r="F267" s="122"/>
      <c r="G267" s="122"/>
      <c r="H267" s="122"/>
      <c r="I267" s="129"/>
      <c r="J267" s="129"/>
      <c r="K267" s="242"/>
      <c r="L267" s="122"/>
      <c r="M267" s="122"/>
      <c r="N267" s="122"/>
      <c r="O267" s="122"/>
      <c r="P267" s="122"/>
    </row>
    <row r="268" ht="18.75" customHeight="1">
      <c r="A268" s="256"/>
      <c r="B268" s="213"/>
      <c r="C268" s="127"/>
      <c r="D268" s="122"/>
      <c r="E268" s="122"/>
      <c r="F268" s="122"/>
      <c r="G268" s="122"/>
      <c r="H268" s="122"/>
      <c r="I268" s="129"/>
      <c r="J268" s="129"/>
      <c r="K268" s="242"/>
      <c r="L268" s="122"/>
      <c r="M268" s="122"/>
      <c r="N268" s="122"/>
      <c r="O268" s="122"/>
      <c r="P268" s="122"/>
    </row>
    <row r="269" ht="18.75" customHeight="1">
      <c r="A269" s="256"/>
      <c r="B269" s="213"/>
      <c r="C269" s="127"/>
      <c r="D269" s="122"/>
      <c r="E269" s="122"/>
      <c r="F269" s="122"/>
      <c r="G269" s="122"/>
      <c r="H269" s="122"/>
      <c r="I269" s="129"/>
      <c r="J269" s="129"/>
      <c r="K269" s="242"/>
      <c r="L269" s="122"/>
      <c r="M269" s="122"/>
      <c r="N269" s="122"/>
      <c r="O269" s="122"/>
      <c r="P269" s="122"/>
    </row>
    <row r="270" ht="18.75" customHeight="1">
      <c r="A270" s="256"/>
      <c r="B270" s="213"/>
      <c r="C270" s="127"/>
      <c r="D270" s="122"/>
      <c r="E270" s="122"/>
      <c r="F270" s="122"/>
      <c r="G270" s="122"/>
      <c r="H270" s="122"/>
      <c r="I270" s="129"/>
      <c r="J270" s="129"/>
      <c r="K270" s="242"/>
      <c r="L270" s="122"/>
      <c r="M270" s="122"/>
      <c r="N270" s="122"/>
      <c r="O270" s="122"/>
      <c r="P270" s="122"/>
    </row>
    <row r="271" ht="18.75" customHeight="1">
      <c r="A271" s="256"/>
      <c r="B271" s="213"/>
      <c r="C271" s="127"/>
      <c r="D271" s="122"/>
      <c r="E271" s="122"/>
      <c r="F271" s="122"/>
      <c r="G271" s="122"/>
      <c r="H271" s="122"/>
      <c r="I271" s="129"/>
      <c r="J271" s="129"/>
      <c r="K271" s="242"/>
      <c r="L271" s="122"/>
      <c r="M271" s="122"/>
      <c r="N271" s="122"/>
      <c r="O271" s="122"/>
      <c r="P271" s="122"/>
    </row>
    <row r="272" ht="18.75" customHeight="1">
      <c r="A272" s="256"/>
      <c r="B272" s="213"/>
      <c r="C272" s="127"/>
      <c r="D272" s="122"/>
      <c r="E272" s="122"/>
      <c r="F272" s="122"/>
      <c r="G272" s="122"/>
      <c r="H272" s="122"/>
      <c r="I272" s="129"/>
      <c r="J272" s="129"/>
      <c r="K272" s="242"/>
      <c r="L272" s="122"/>
      <c r="M272" s="122"/>
      <c r="N272" s="122"/>
      <c r="O272" s="122"/>
      <c r="P272" s="122"/>
    </row>
    <row r="273" ht="18.75" customHeight="1">
      <c r="A273" s="256"/>
      <c r="B273" s="213"/>
      <c r="C273" s="127"/>
      <c r="D273" s="122"/>
      <c r="E273" s="122"/>
      <c r="F273" s="122"/>
      <c r="G273" s="122"/>
      <c r="H273" s="122"/>
      <c r="I273" s="129"/>
      <c r="J273" s="129"/>
      <c r="K273" s="242"/>
      <c r="L273" s="122"/>
      <c r="M273" s="122"/>
      <c r="N273" s="122"/>
      <c r="O273" s="122"/>
      <c r="P273" s="122"/>
    </row>
    <row r="274" ht="18.75" customHeight="1">
      <c r="A274" s="256"/>
      <c r="B274" s="213"/>
      <c r="C274" s="127"/>
      <c r="D274" s="122"/>
      <c r="E274" s="122"/>
      <c r="F274" s="122"/>
      <c r="G274" s="122"/>
      <c r="H274" s="122"/>
      <c r="I274" s="129"/>
      <c r="J274" s="129"/>
      <c r="K274" s="242"/>
      <c r="L274" s="122"/>
      <c r="M274" s="122"/>
      <c r="N274" s="122"/>
      <c r="O274" s="122"/>
      <c r="P274" s="122"/>
    </row>
    <row r="275" ht="18.75" customHeight="1">
      <c r="A275" s="256"/>
      <c r="B275" s="213"/>
      <c r="C275" s="127"/>
      <c r="D275" s="122"/>
      <c r="E275" s="122"/>
      <c r="F275" s="122"/>
      <c r="G275" s="122"/>
      <c r="H275" s="122"/>
      <c r="I275" s="129"/>
      <c r="J275" s="129"/>
      <c r="K275" s="242"/>
      <c r="L275" s="122"/>
      <c r="M275" s="122"/>
      <c r="N275" s="122"/>
      <c r="O275" s="122"/>
      <c r="P275" s="122"/>
    </row>
    <row r="276" ht="18.75" customHeight="1">
      <c r="A276" s="256"/>
      <c r="B276" s="213"/>
      <c r="C276" s="127"/>
      <c r="D276" s="122"/>
      <c r="E276" s="122"/>
      <c r="F276" s="122"/>
      <c r="G276" s="122"/>
      <c r="H276" s="122"/>
      <c r="I276" s="129"/>
      <c r="J276" s="129"/>
      <c r="K276" s="242"/>
      <c r="L276" s="122"/>
      <c r="M276" s="122"/>
      <c r="N276" s="122"/>
      <c r="O276" s="122"/>
      <c r="P276" s="122"/>
    </row>
    <row r="277" ht="18.75" customHeight="1">
      <c r="A277" s="256"/>
      <c r="B277" s="213"/>
      <c r="C277" s="127"/>
      <c r="D277" s="122"/>
      <c r="E277" s="122"/>
      <c r="F277" s="122"/>
      <c r="G277" s="122"/>
      <c r="H277" s="122"/>
      <c r="I277" s="129"/>
      <c r="J277" s="129"/>
      <c r="K277" s="242"/>
      <c r="L277" s="122"/>
      <c r="M277" s="122"/>
      <c r="N277" s="122"/>
      <c r="O277" s="122"/>
      <c r="P277" s="122"/>
    </row>
    <row r="278" ht="18.75" customHeight="1">
      <c r="A278" s="256"/>
      <c r="B278" s="213"/>
      <c r="C278" s="127"/>
      <c r="D278" s="122"/>
      <c r="E278" s="122"/>
      <c r="F278" s="122"/>
      <c r="G278" s="122"/>
      <c r="H278" s="122"/>
      <c r="I278" s="129"/>
      <c r="J278" s="129"/>
      <c r="K278" s="242"/>
      <c r="L278" s="122"/>
      <c r="M278" s="122"/>
      <c r="N278" s="122"/>
      <c r="O278" s="122"/>
      <c r="P278" s="122"/>
    </row>
    <row r="279" ht="18.75" customHeight="1">
      <c r="A279" s="256"/>
      <c r="B279" s="213"/>
      <c r="C279" s="127"/>
      <c r="D279" s="122"/>
      <c r="E279" s="122"/>
      <c r="F279" s="122"/>
      <c r="G279" s="122"/>
      <c r="H279" s="122"/>
      <c r="I279" s="129"/>
      <c r="J279" s="129"/>
      <c r="K279" s="242"/>
      <c r="L279" s="122"/>
      <c r="M279" s="122"/>
      <c r="N279" s="122"/>
      <c r="O279" s="122"/>
      <c r="P279" s="122"/>
    </row>
    <row r="280" ht="18.75" customHeight="1">
      <c r="A280" s="256"/>
      <c r="B280" s="213"/>
      <c r="C280" s="127"/>
      <c r="D280" s="122"/>
      <c r="E280" s="122"/>
      <c r="F280" s="122"/>
      <c r="G280" s="122"/>
      <c r="H280" s="122"/>
      <c r="I280" s="129"/>
      <c r="J280" s="129"/>
      <c r="K280" s="242"/>
      <c r="L280" s="122"/>
      <c r="M280" s="122"/>
      <c r="N280" s="122"/>
      <c r="O280" s="122"/>
      <c r="P280" s="122"/>
    </row>
    <row r="281" ht="18.75" customHeight="1">
      <c r="A281" s="256"/>
      <c r="B281" s="213"/>
      <c r="C281" s="127"/>
      <c r="D281" s="122"/>
      <c r="E281" s="122"/>
      <c r="F281" s="122"/>
      <c r="G281" s="122"/>
      <c r="H281" s="122"/>
      <c r="I281" s="129"/>
      <c r="J281" s="129"/>
      <c r="K281" s="242"/>
      <c r="L281" s="122"/>
      <c r="M281" s="122"/>
      <c r="N281" s="122"/>
      <c r="O281" s="122"/>
      <c r="P281" s="122"/>
    </row>
    <row r="282" ht="18.75" customHeight="1">
      <c r="A282" s="256"/>
      <c r="B282" s="213"/>
      <c r="C282" s="127"/>
      <c r="D282" s="122"/>
      <c r="E282" s="122"/>
      <c r="F282" s="122"/>
      <c r="G282" s="122"/>
      <c r="H282" s="122"/>
      <c r="I282" s="129"/>
      <c r="J282" s="129"/>
      <c r="K282" s="242"/>
      <c r="L282" s="122"/>
      <c r="M282" s="122"/>
      <c r="N282" s="122"/>
      <c r="O282" s="122"/>
      <c r="P282" s="122"/>
    </row>
    <row r="283" ht="18.75" customHeight="1">
      <c r="A283" s="256"/>
      <c r="B283" s="213"/>
      <c r="C283" s="127"/>
      <c r="D283" s="122"/>
      <c r="E283" s="122"/>
      <c r="F283" s="122"/>
      <c r="G283" s="122"/>
      <c r="H283" s="122"/>
      <c r="I283" s="129"/>
      <c r="J283" s="129"/>
      <c r="K283" s="242"/>
      <c r="L283" s="122"/>
      <c r="M283" s="122"/>
      <c r="N283" s="122"/>
      <c r="O283" s="122"/>
      <c r="P283" s="122"/>
    </row>
    <row r="284" ht="18.75" customHeight="1">
      <c r="A284" s="256"/>
      <c r="B284" s="213"/>
      <c r="C284" s="127"/>
      <c r="D284" s="122"/>
      <c r="E284" s="122"/>
      <c r="F284" s="122"/>
      <c r="G284" s="122"/>
      <c r="H284" s="122"/>
      <c r="I284" s="129"/>
      <c r="J284" s="129"/>
      <c r="K284" s="242"/>
      <c r="L284" s="122"/>
      <c r="M284" s="122"/>
      <c r="N284" s="122"/>
      <c r="O284" s="122"/>
      <c r="P284" s="122"/>
    </row>
    <row r="285" ht="18.75" customHeight="1">
      <c r="A285" s="256"/>
      <c r="B285" s="213"/>
      <c r="C285" s="127"/>
      <c r="D285" s="122"/>
      <c r="E285" s="122"/>
      <c r="F285" s="122"/>
      <c r="G285" s="122"/>
      <c r="H285" s="122"/>
      <c r="I285" s="129"/>
      <c r="J285" s="129"/>
      <c r="K285" s="242"/>
      <c r="L285" s="122"/>
      <c r="M285" s="122"/>
      <c r="N285" s="122"/>
      <c r="O285" s="122"/>
      <c r="P285" s="122"/>
    </row>
    <row r="286" ht="18.75" customHeight="1">
      <c r="A286" s="256"/>
      <c r="B286" s="213"/>
      <c r="C286" s="127"/>
      <c r="D286" s="122"/>
      <c r="E286" s="122"/>
      <c r="F286" s="122"/>
      <c r="G286" s="122"/>
      <c r="H286" s="122"/>
      <c r="I286" s="129"/>
      <c r="J286" s="129"/>
      <c r="K286" s="242"/>
      <c r="L286" s="122"/>
      <c r="M286" s="122"/>
      <c r="N286" s="122"/>
      <c r="O286" s="122"/>
      <c r="P286" s="122"/>
    </row>
    <row r="287" ht="18.75" customHeight="1">
      <c r="A287" s="256"/>
      <c r="B287" s="213"/>
      <c r="C287" s="127"/>
      <c r="D287" s="122"/>
      <c r="E287" s="122"/>
      <c r="F287" s="122"/>
      <c r="G287" s="122"/>
      <c r="H287" s="122"/>
      <c r="I287" s="129"/>
      <c r="J287" s="129"/>
      <c r="K287" s="242"/>
      <c r="L287" s="122"/>
      <c r="M287" s="122"/>
      <c r="N287" s="122"/>
      <c r="O287" s="122"/>
      <c r="P287" s="122"/>
    </row>
    <row r="288" ht="18.75" customHeight="1">
      <c r="A288" s="256"/>
      <c r="B288" s="213"/>
      <c r="C288" s="127"/>
      <c r="D288" s="122"/>
      <c r="E288" s="122"/>
      <c r="F288" s="122"/>
      <c r="G288" s="122"/>
      <c r="H288" s="122"/>
      <c r="I288" s="129"/>
      <c r="J288" s="129"/>
      <c r="K288" s="242"/>
      <c r="L288" s="122"/>
      <c r="M288" s="122"/>
      <c r="N288" s="122"/>
      <c r="O288" s="122"/>
      <c r="P288" s="122"/>
    </row>
    <row r="289" ht="18.75" customHeight="1">
      <c r="A289" s="256"/>
      <c r="B289" s="213"/>
      <c r="C289" s="127"/>
      <c r="D289" s="122"/>
      <c r="E289" s="122"/>
      <c r="F289" s="122"/>
      <c r="G289" s="122"/>
      <c r="H289" s="122"/>
      <c r="I289" s="129"/>
      <c r="J289" s="129"/>
      <c r="K289" s="242"/>
      <c r="L289" s="122"/>
      <c r="M289" s="122"/>
      <c r="N289" s="122"/>
      <c r="O289" s="122"/>
      <c r="P289" s="122"/>
    </row>
    <row r="290" ht="18.75" customHeight="1">
      <c r="A290" s="256"/>
      <c r="B290" s="213"/>
      <c r="C290" s="127"/>
      <c r="D290" s="122"/>
      <c r="E290" s="122"/>
      <c r="F290" s="122"/>
      <c r="G290" s="122"/>
      <c r="H290" s="122"/>
      <c r="I290" s="129"/>
      <c r="J290" s="129"/>
      <c r="K290" s="242"/>
      <c r="L290" s="122"/>
      <c r="M290" s="122"/>
      <c r="N290" s="122"/>
      <c r="O290" s="122"/>
      <c r="P290" s="122"/>
    </row>
    <row r="291" ht="18.75" customHeight="1">
      <c r="A291" s="256"/>
      <c r="B291" s="213"/>
      <c r="C291" s="127"/>
      <c r="D291" s="122"/>
      <c r="E291" s="122"/>
      <c r="F291" s="122"/>
      <c r="G291" s="122"/>
      <c r="H291" s="122"/>
      <c r="I291" s="129"/>
      <c r="J291" s="129"/>
      <c r="K291" s="242"/>
      <c r="L291" s="122"/>
      <c r="M291" s="122"/>
      <c r="N291" s="122"/>
      <c r="O291" s="122"/>
      <c r="P291" s="122"/>
    </row>
    <row r="292" ht="18.75" customHeight="1">
      <c r="A292" s="256"/>
      <c r="B292" s="213"/>
      <c r="C292" s="127"/>
      <c r="D292" s="122"/>
      <c r="E292" s="122"/>
      <c r="F292" s="122"/>
      <c r="G292" s="122"/>
      <c r="H292" s="122"/>
      <c r="I292" s="129"/>
      <c r="J292" s="129"/>
      <c r="K292" s="242"/>
      <c r="L292" s="122"/>
      <c r="M292" s="122"/>
      <c r="N292" s="122"/>
      <c r="O292" s="122"/>
      <c r="P292" s="122"/>
    </row>
    <row r="293" ht="18.75" customHeight="1">
      <c r="A293" s="256"/>
      <c r="B293" s="213"/>
      <c r="C293" s="127"/>
      <c r="D293" s="122"/>
      <c r="E293" s="122"/>
      <c r="F293" s="122"/>
      <c r="G293" s="122"/>
      <c r="H293" s="122"/>
      <c r="I293" s="129"/>
      <c r="J293" s="129"/>
      <c r="K293" s="242"/>
      <c r="L293" s="122"/>
      <c r="M293" s="122"/>
      <c r="N293" s="122"/>
      <c r="O293" s="122"/>
      <c r="P293" s="122"/>
    </row>
    <row r="294" ht="18.75" customHeight="1">
      <c r="A294" s="256"/>
      <c r="B294" s="213"/>
      <c r="C294" s="127"/>
      <c r="D294" s="122"/>
      <c r="E294" s="122"/>
      <c r="F294" s="122"/>
      <c r="G294" s="122"/>
      <c r="H294" s="122"/>
      <c r="I294" s="129"/>
      <c r="J294" s="129"/>
      <c r="K294" s="242"/>
      <c r="L294" s="122"/>
      <c r="M294" s="122"/>
      <c r="N294" s="122"/>
      <c r="O294" s="122"/>
      <c r="P294" s="122"/>
    </row>
    <row r="295" ht="18.75" customHeight="1">
      <c r="A295" s="256"/>
      <c r="B295" s="213"/>
      <c r="C295" s="127"/>
      <c r="D295" s="122"/>
      <c r="E295" s="122"/>
      <c r="F295" s="122"/>
      <c r="G295" s="122"/>
      <c r="H295" s="122"/>
      <c r="I295" s="129"/>
      <c r="J295" s="129"/>
      <c r="K295" s="242"/>
      <c r="L295" s="122"/>
      <c r="M295" s="122"/>
      <c r="N295" s="122"/>
      <c r="O295" s="122"/>
      <c r="P295" s="122"/>
    </row>
    <row r="296" ht="18.75" customHeight="1">
      <c r="A296" s="256"/>
      <c r="B296" s="213"/>
      <c r="C296" s="127"/>
      <c r="D296" s="122"/>
      <c r="E296" s="122"/>
      <c r="F296" s="122"/>
      <c r="G296" s="122"/>
      <c r="H296" s="122"/>
      <c r="I296" s="129"/>
      <c r="J296" s="129"/>
      <c r="K296" s="242"/>
      <c r="L296" s="122"/>
      <c r="M296" s="122"/>
      <c r="N296" s="122"/>
      <c r="O296" s="122"/>
      <c r="P296" s="122"/>
    </row>
    <row r="297" ht="18.75" customHeight="1">
      <c r="A297" s="256"/>
      <c r="B297" s="213"/>
      <c r="C297" s="127"/>
      <c r="D297" s="122"/>
      <c r="E297" s="122"/>
      <c r="F297" s="122"/>
      <c r="G297" s="122"/>
      <c r="H297" s="122"/>
      <c r="I297" s="129"/>
      <c r="J297" s="129"/>
      <c r="K297" s="242"/>
      <c r="L297" s="122"/>
      <c r="M297" s="122"/>
      <c r="N297" s="122"/>
      <c r="O297" s="122"/>
      <c r="P297" s="122"/>
    </row>
    <row r="298" ht="18.75" customHeight="1">
      <c r="A298" s="256"/>
      <c r="B298" s="213"/>
      <c r="C298" s="127"/>
      <c r="D298" s="122"/>
      <c r="E298" s="122"/>
      <c r="F298" s="122"/>
      <c r="G298" s="122"/>
      <c r="H298" s="122"/>
      <c r="I298" s="129"/>
      <c r="J298" s="129"/>
      <c r="K298" s="242"/>
      <c r="L298" s="122"/>
      <c r="M298" s="122"/>
      <c r="N298" s="122"/>
      <c r="O298" s="122"/>
      <c r="P298" s="122"/>
    </row>
    <row r="299" ht="18.75" customHeight="1">
      <c r="A299" s="256"/>
      <c r="B299" s="213"/>
      <c r="C299" s="127"/>
      <c r="D299" s="122"/>
      <c r="E299" s="122"/>
      <c r="F299" s="122"/>
      <c r="G299" s="122"/>
      <c r="H299" s="122"/>
      <c r="I299" s="129"/>
      <c r="J299" s="129"/>
      <c r="K299" s="242"/>
      <c r="L299" s="122"/>
      <c r="M299" s="122"/>
      <c r="N299" s="122"/>
      <c r="O299" s="122"/>
      <c r="P299" s="122"/>
    </row>
    <row r="300" ht="18.75" customHeight="1">
      <c r="A300" s="256"/>
      <c r="B300" s="213"/>
      <c r="C300" s="127"/>
      <c r="D300" s="122"/>
      <c r="E300" s="122"/>
      <c r="F300" s="122"/>
      <c r="G300" s="122"/>
      <c r="H300" s="122"/>
      <c r="I300" s="129"/>
      <c r="J300" s="129"/>
      <c r="K300" s="242"/>
      <c r="L300" s="122"/>
      <c r="M300" s="122"/>
      <c r="N300" s="122"/>
      <c r="O300" s="122"/>
      <c r="P300" s="122"/>
    </row>
    <row r="301" ht="18.75" customHeight="1">
      <c r="A301" s="256"/>
      <c r="B301" s="213"/>
      <c r="C301" s="127"/>
      <c r="D301" s="122"/>
      <c r="E301" s="122"/>
      <c r="F301" s="122"/>
      <c r="G301" s="122"/>
      <c r="H301" s="122"/>
      <c r="I301" s="129"/>
      <c r="J301" s="129"/>
      <c r="K301" s="242"/>
      <c r="L301" s="122"/>
      <c r="M301" s="122"/>
      <c r="N301" s="122"/>
      <c r="O301" s="122"/>
      <c r="P301" s="122"/>
    </row>
    <row r="302" ht="18.75" customHeight="1">
      <c r="A302" s="256"/>
      <c r="B302" s="213"/>
      <c r="C302" s="127"/>
      <c r="D302" s="122"/>
      <c r="E302" s="122"/>
      <c r="F302" s="122"/>
      <c r="G302" s="122"/>
      <c r="H302" s="122"/>
      <c r="I302" s="129"/>
      <c r="J302" s="129"/>
      <c r="K302" s="242"/>
      <c r="L302" s="122"/>
      <c r="M302" s="122"/>
      <c r="N302" s="122"/>
      <c r="O302" s="122"/>
      <c r="P302" s="122"/>
    </row>
    <row r="303" ht="18.75" customHeight="1">
      <c r="A303" s="256"/>
      <c r="B303" s="213"/>
      <c r="C303" s="127"/>
      <c r="D303" s="122"/>
      <c r="E303" s="122"/>
      <c r="F303" s="122"/>
      <c r="G303" s="122"/>
      <c r="H303" s="122"/>
      <c r="I303" s="129"/>
      <c r="J303" s="129"/>
      <c r="K303" s="242"/>
      <c r="L303" s="122"/>
      <c r="M303" s="122"/>
      <c r="N303" s="122"/>
      <c r="O303" s="122"/>
      <c r="P303" s="122"/>
    </row>
    <row r="304" ht="18.75" customHeight="1">
      <c r="A304" s="256"/>
      <c r="B304" s="213"/>
      <c r="C304" s="127"/>
      <c r="D304" s="122"/>
      <c r="E304" s="122"/>
      <c r="F304" s="122"/>
      <c r="G304" s="122"/>
      <c r="H304" s="122"/>
      <c r="I304" s="129"/>
      <c r="J304" s="129"/>
      <c r="K304" s="242"/>
      <c r="L304" s="122"/>
      <c r="M304" s="122"/>
      <c r="N304" s="122"/>
      <c r="O304" s="122"/>
      <c r="P304" s="122"/>
    </row>
    <row r="305" ht="18.75" customHeight="1">
      <c r="A305" s="256"/>
      <c r="B305" s="213"/>
      <c r="C305" s="127"/>
      <c r="D305" s="122"/>
      <c r="E305" s="122"/>
      <c r="F305" s="122"/>
      <c r="G305" s="122"/>
      <c r="H305" s="122"/>
      <c r="I305" s="129"/>
      <c r="J305" s="129"/>
      <c r="K305" s="242"/>
      <c r="L305" s="122"/>
      <c r="M305" s="122"/>
      <c r="N305" s="122"/>
      <c r="O305" s="122"/>
      <c r="P305" s="122"/>
    </row>
    <row r="306" ht="18.75" customHeight="1">
      <c r="A306" s="256"/>
      <c r="B306" s="213"/>
      <c r="C306" s="127"/>
      <c r="D306" s="122"/>
      <c r="E306" s="122"/>
      <c r="F306" s="122"/>
      <c r="G306" s="122"/>
      <c r="H306" s="122"/>
      <c r="I306" s="129"/>
      <c r="J306" s="129"/>
      <c r="K306" s="242"/>
      <c r="L306" s="122"/>
      <c r="M306" s="122"/>
      <c r="N306" s="122"/>
      <c r="O306" s="122"/>
      <c r="P306" s="122"/>
    </row>
    <row r="307" ht="18.75" customHeight="1">
      <c r="A307" s="256"/>
      <c r="B307" s="213"/>
      <c r="C307" s="127"/>
      <c r="D307" s="122"/>
      <c r="E307" s="122"/>
      <c r="F307" s="122"/>
      <c r="G307" s="122"/>
      <c r="H307" s="122"/>
      <c r="I307" s="129"/>
      <c r="J307" s="129"/>
      <c r="K307" s="242"/>
      <c r="L307" s="122"/>
      <c r="M307" s="122"/>
      <c r="N307" s="122"/>
      <c r="O307" s="122"/>
      <c r="P307" s="122"/>
    </row>
    <row r="308" ht="18.75" customHeight="1">
      <c r="A308" s="256"/>
      <c r="B308" s="213"/>
      <c r="C308" s="127"/>
      <c r="D308" s="122"/>
      <c r="E308" s="122"/>
      <c r="F308" s="122"/>
      <c r="G308" s="122"/>
      <c r="H308" s="122"/>
      <c r="I308" s="129"/>
      <c r="J308" s="129"/>
      <c r="K308" s="242"/>
      <c r="L308" s="122"/>
      <c r="M308" s="122"/>
      <c r="N308" s="122"/>
      <c r="O308" s="122"/>
      <c r="P308" s="122"/>
    </row>
    <row r="309" ht="18.75" customHeight="1">
      <c r="A309" s="256"/>
      <c r="B309" s="213"/>
      <c r="C309" s="127"/>
      <c r="D309" s="122"/>
      <c r="E309" s="122"/>
      <c r="F309" s="122"/>
      <c r="G309" s="122"/>
      <c r="H309" s="122"/>
      <c r="I309" s="129"/>
      <c r="J309" s="129"/>
      <c r="K309" s="242"/>
      <c r="L309" s="122"/>
      <c r="M309" s="122"/>
      <c r="N309" s="122"/>
      <c r="O309" s="122"/>
      <c r="P309" s="122"/>
    </row>
    <row r="310" ht="18.75" customHeight="1">
      <c r="A310" s="256"/>
      <c r="B310" s="213"/>
      <c r="C310" s="127"/>
      <c r="D310" s="122"/>
      <c r="E310" s="122"/>
      <c r="F310" s="122"/>
      <c r="G310" s="122"/>
      <c r="H310" s="122"/>
      <c r="I310" s="129"/>
      <c r="J310" s="129"/>
      <c r="K310" s="242"/>
      <c r="L310" s="122"/>
      <c r="M310" s="122"/>
      <c r="N310" s="122"/>
      <c r="O310" s="122"/>
      <c r="P310" s="122"/>
    </row>
    <row r="311" ht="18.75" customHeight="1">
      <c r="A311" s="256"/>
      <c r="B311" s="213"/>
      <c r="C311" s="127"/>
      <c r="D311" s="122"/>
      <c r="E311" s="122"/>
      <c r="F311" s="122"/>
      <c r="G311" s="122"/>
      <c r="H311" s="122"/>
      <c r="I311" s="129"/>
      <c r="J311" s="129"/>
      <c r="K311" s="242"/>
      <c r="L311" s="122"/>
      <c r="M311" s="122"/>
      <c r="N311" s="122"/>
      <c r="O311" s="122"/>
      <c r="P311" s="122"/>
    </row>
    <row r="312" ht="18.75" customHeight="1">
      <c r="A312" s="256"/>
      <c r="B312" s="213"/>
      <c r="C312" s="127"/>
      <c r="D312" s="122"/>
      <c r="E312" s="122"/>
      <c r="F312" s="122"/>
      <c r="G312" s="122"/>
      <c r="H312" s="122"/>
      <c r="I312" s="129"/>
      <c r="J312" s="129"/>
      <c r="K312" s="242"/>
      <c r="L312" s="122"/>
      <c r="M312" s="122"/>
      <c r="N312" s="122"/>
      <c r="O312" s="122"/>
      <c r="P312" s="122"/>
    </row>
    <row r="313" ht="18.75" customHeight="1">
      <c r="A313" s="256"/>
      <c r="B313" s="213"/>
      <c r="C313" s="127"/>
      <c r="D313" s="122"/>
      <c r="E313" s="122"/>
      <c r="F313" s="122"/>
      <c r="G313" s="122"/>
      <c r="H313" s="122"/>
      <c r="I313" s="129"/>
      <c r="J313" s="129"/>
      <c r="K313" s="242"/>
      <c r="L313" s="122"/>
      <c r="M313" s="122"/>
      <c r="N313" s="122"/>
      <c r="O313" s="122"/>
      <c r="P313" s="122"/>
    </row>
    <row r="314" ht="18.75" customHeight="1">
      <c r="A314" s="256"/>
      <c r="B314" s="213"/>
      <c r="C314" s="127"/>
      <c r="D314" s="122"/>
      <c r="E314" s="122"/>
      <c r="F314" s="122"/>
      <c r="G314" s="122"/>
      <c r="H314" s="122"/>
      <c r="I314" s="129"/>
      <c r="J314" s="129"/>
      <c r="K314" s="242"/>
      <c r="L314" s="122"/>
      <c r="M314" s="122"/>
      <c r="N314" s="122"/>
      <c r="O314" s="122"/>
      <c r="P314" s="122"/>
    </row>
    <row r="315" ht="18.75" customHeight="1">
      <c r="A315" s="256"/>
      <c r="B315" s="213"/>
      <c r="C315" s="127"/>
      <c r="D315" s="122"/>
      <c r="E315" s="122"/>
      <c r="F315" s="122"/>
      <c r="G315" s="122"/>
      <c r="H315" s="122"/>
      <c r="I315" s="129"/>
      <c r="J315" s="129"/>
      <c r="K315" s="242"/>
      <c r="L315" s="122"/>
      <c r="M315" s="122"/>
      <c r="N315" s="122"/>
      <c r="O315" s="122"/>
      <c r="P315" s="122"/>
    </row>
    <row r="316" ht="18.75" customHeight="1">
      <c r="A316" s="256"/>
      <c r="B316" s="213"/>
      <c r="C316" s="127"/>
      <c r="D316" s="122"/>
      <c r="E316" s="122"/>
      <c r="F316" s="122"/>
      <c r="G316" s="122"/>
      <c r="H316" s="122"/>
      <c r="I316" s="129"/>
      <c r="J316" s="129"/>
      <c r="K316" s="242"/>
      <c r="L316" s="122"/>
      <c r="M316" s="122"/>
      <c r="N316" s="122"/>
      <c r="O316" s="122"/>
      <c r="P316" s="122"/>
    </row>
    <row r="317" ht="18.75" customHeight="1">
      <c r="A317" s="256"/>
      <c r="B317" s="213"/>
      <c r="C317" s="127"/>
      <c r="D317" s="122"/>
      <c r="E317" s="122"/>
      <c r="F317" s="122"/>
      <c r="G317" s="122"/>
      <c r="H317" s="122"/>
      <c r="I317" s="129"/>
      <c r="J317" s="129"/>
      <c r="K317" s="242"/>
      <c r="L317" s="122"/>
      <c r="M317" s="122"/>
      <c r="N317" s="122"/>
      <c r="O317" s="122"/>
      <c r="P317" s="122"/>
    </row>
    <row r="318" ht="18.75" customHeight="1">
      <c r="A318" s="256"/>
      <c r="B318" s="213"/>
      <c r="C318" s="127"/>
      <c r="D318" s="122"/>
      <c r="E318" s="122"/>
      <c r="F318" s="122"/>
      <c r="G318" s="122"/>
      <c r="H318" s="122"/>
      <c r="I318" s="129"/>
      <c r="J318" s="129"/>
      <c r="K318" s="242"/>
      <c r="L318" s="122"/>
      <c r="M318" s="122"/>
      <c r="N318" s="122"/>
      <c r="O318" s="122"/>
      <c r="P318" s="122"/>
    </row>
    <row r="319" ht="18.75" customHeight="1">
      <c r="A319" s="256"/>
      <c r="B319" s="213"/>
      <c r="C319" s="127"/>
      <c r="D319" s="122"/>
      <c r="E319" s="122"/>
      <c r="F319" s="122"/>
      <c r="G319" s="122"/>
      <c r="H319" s="122"/>
      <c r="I319" s="129"/>
      <c r="J319" s="129"/>
      <c r="K319" s="242"/>
      <c r="L319" s="122"/>
      <c r="M319" s="122"/>
      <c r="N319" s="122"/>
      <c r="O319" s="122"/>
      <c r="P319" s="122"/>
    </row>
    <row r="320" ht="18.75" customHeight="1">
      <c r="A320" s="256"/>
      <c r="B320" s="213"/>
      <c r="C320" s="127"/>
      <c r="D320" s="122"/>
      <c r="E320" s="122"/>
      <c r="F320" s="122"/>
      <c r="G320" s="122"/>
      <c r="H320" s="122"/>
      <c r="I320" s="129"/>
      <c r="J320" s="129"/>
      <c r="K320" s="242"/>
      <c r="L320" s="122"/>
      <c r="M320" s="122"/>
      <c r="N320" s="122"/>
      <c r="O320" s="122"/>
      <c r="P320" s="122"/>
    </row>
    <row r="321" ht="18.75" customHeight="1">
      <c r="A321" s="256"/>
      <c r="B321" s="213"/>
      <c r="C321" s="127"/>
      <c r="D321" s="122"/>
      <c r="E321" s="122"/>
      <c r="F321" s="122"/>
      <c r="G321" s="122"/>
      <c r="H321" s="122"/>
      <c r="I321" s="129"/>
      <c r="J321" s="129"/>
      <c r="K321" s="242"/>
      <c r="L321" s="122"/>
      <c r="M321" s="122"/>
      <c r="N321" s="122"/>
      <c r="O321" s="122"/>
      <c r="P321" s="122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6:A49"/>
    <mergeCell ref="G46:H49"/>
    <mergeCell ref="A54:A57"/>
    <mergeCell ref="G54:H57"/>
    <mergeCell ref="A62:A65"/>
    <mergeCell ref="G62:H65"/>
    <mergeCell ref="H66:H69"/>
    <mergeCell ref="H70:H73"/>
    <mergeCell ref="A6:A9"/>
    <mergeCell ref="A10:A13"/>
    <mergeCell ref="G10:H13"/>
    <mergeCell ref="A14:A17"/>
    <mergeCell ref="G18:H21"/>
    <mergeCell ref="A30:A33"/>
    <mergeCell ref="G30:H33"/>
  </mergeCells>
  <hyperlinks>
    <hyperlink r:id="rId1" ref="J121"/>
  </hyperlinks>
  <printOptions/>
  <pageMargins bottom="0.984027777777778" footer="0.0" header="0.0" left="0.747916666666667" right="0.747916666666667" top="0.984027777777778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